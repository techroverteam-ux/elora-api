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23501eb5cda33a/Desktop/"/>
    </mc:Choice>
  </mc:AlternateContent>
  <xr:revisionPtr revIDLastSave="11" documentId="13_ncr:1_{81F27CB6-F571-4847-B605-2F7297BB6925}" xr6:coauthVersionLast="47" xr6:coauthVersionMax="47" xr10:uidLastSave="{633AAC51-A263-4360-B5F0-9B2CA1410CC9}"/>
  <bookViews>
    <workbookView xWindow="-98" yWindow="-98" windowWidth="22695" windowHeight="14476" activeTab="1" xr2:uid="{75E5B124-92FD-4C61-9A31-C4E662924B4B}"/>
  </bookViews>
  <sheets>
    <sheet name="RFQ format" sheetId="1" r:id="rId1"/>
    <sheet name="Master Excel" sheetId="3" r:id="rId2"/>
  </sheets>
  <definedNames>
    <definedName name="_xlnm._FilterDatabase" localSheetId="1" hidden="1">'Master Excel'!$A$1:$Q$184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O183" i="3"/>
  <c r="P183" i="3" s="1"/>
  <c r="Q183" i="3" s="1"/>
  <c r="O184" i="3"/>
  <c r="P184" i="3" s="1"/>
  <c r="Q184" i="3" s="1"/>
  <c r="K3" i="3" l="1"/>
  <c r="K4" i="3"/>
  <c r="K5" i="3"/>
  <c r="K6" i="3"/>
  <c r="K7" i="3"/>
  <c r="K8" i="3"/>
  <c r="K9" i="3"/>
  <c r="K10" i="3"/>
  <c r="K11" i="3"/>
  <c r="K12" i="3"/>
  <c r="K13" i="3"/>
  <c r="M13" i="3" s="1"/>
  <c r="O13" i="3" s="1"/>
  <c r="P13" i="3" s="1"/>
  <c r="Q13" i="3" s="1"/>
  <c r="K14" i="3"/>
  <c r="K15" i="3"/>
  <c r="K16" i="3"/>
  <c r="K17" i="3"/>
  <c r="K18" i="3"/>
  <c r="K19" i="3"/>
  <c r="K20" i="3"/>
  <c r="K21" i="3"/>
  <c r="K22" i="3"/>
  <c r="K23" i="3"/>
  <c r="K24" i="3"/>
  <c r="M24" i="3" s="1"/>
  <c r="O24" i="3" s="1"/>
  <c r="P24" i="3" s="1"/>
  <c r="Q24" i="3" s="1"/>
  <c r="K25" i="3"/>
  <c r="M25" i="3" s="1"/>
  <c r="O25" i="3" s="1"/>
  <c r="P25" i="3" s="1"/>
  <c r="Q25" i="3" s="1"/>
  <c r="K26" i="3"/>
  <c r="K27" i="3"/>
  <c r="K28" i="3"/>
  <c r="K29" i="3"/>
  <c r="K30" i="3"/>
  <c r="K31" i="3"/>
  <c r="K32" i="3"/>
  <c r="K33" i="3"/>
  <c r="K34" i="3"/>
  <c r="K35" i="3"/>
  <c r="K36" i="3"/>
  <c r="K37" i="3"/>
  <c r="M37" i="3" s="1"/>
  <c r="O37" i="3" s="1"/>
  <c r="P37" i="3" s="1"/>
  <c r="Q37" i="3" s="1"/>
  <c r="K38" i="3"/>
  <c r="K39" i="3"/>
  <c r="K40" i="3"/>
  <c r="K41" i="3"/>
  <c r="K42" i="3"/>
  <c r="K43" i="3"/>
  <c r="K44" i="3"/>
  <c r="K45" i="3"/>
  <c r="K46" i="3"/>
  <c r="K47" i="3"/>
  <c r="K48" i="3"/>
  <c r="K49" i="3"/>
  <c r="M49" i="3" s="1"/>
  <c r="O49" i="3" s="1"/>
  <c r="P49" i="3" s="1"/>
  <c r="Q49" i="3" s="1"/>
  <c r="K50" i="3"/>
  <c r="K51" i="3"/>
  <c r="K52" i="3"/>
  <c r="K53" i="3"/>
  <c r="K54" i="3"/>
  <c r="K55" i="3"/>
  <c r="K56" i="3"/>
  <c r="K57" i="3"/>
  <c r="K58" i="3"/>
  <c r="K59" i="3"/>
  <c r="K60" i="3"/>
  <c r="K61" i="3"/>
  <c r="M61" i="3" s="1"/>
  <c r="O61" i="3" s="1"/>
  <c r="P61" i="3" s="1"/>
  <c r="Q61" i="3" s="1"/>
  <c r="K62" i="3"/>
  <c r="K63" i="3"/>
  <c r="K64" i="3"/>
  <c r="K65" i="3"/>
  <c r="K66" i="3"/>
  <c r="K67" i="3"/>
  <c r="K68" i="3"/>
  <c r="K69" i="3"/>
  <c r="K70" i="3"/>
  <c r="K71" i="3"/>
  <c r="K72" i="3"/>
  <c r="K73" i="3"/>
  <c r="M73" i="3" s="1"/>
  <c r="O73" i="3" s="1"/>
  <c r="P73" i="3" s="1"/>
  <c r="Q73" i="3" s="1"/>
  <c r="K74" i="3"/>
  <c r="K75" i="3"/>
  <c r="K76" i="3"/>
  <c r="K77" i="3"/>
  <c r="K78" i="3"/>
  <c r="K79" i="3"/>
  <c r="K80" i="3"/>
  <c r="K81" i="3"/>
  <c r="K82" i="3"/>
  <c r="K83" i="3"/>
  <c r="K84" i="3"/>
  <c r="K85" i="3"/>
  <c r="M85" i="3" s="1"/>
  <c r="O85" i="3" s="1"/>
  <c r="P85" i="3" s="1"/>
  <c r="Q85" i="3" s="1"/>
  <c r="K86" i="3"/>
  <c r="K87" i="3"/>
  <c r="K88" i="3"/>
  <c r="K89" i="3"/>
  <c r="K90" i="3"/>
  <c r="K91" i="3"/>
  <c r="K92" i="3"/>
  <c r="K93" i="3"/>
  <c r="K94" i="3"/>
  <c r="K95" i="3"/>
  <c r="K96" i="3"/>
  <c r="K97" i="3"/>
  <c r="M97" i="3" s="1"/>
  <c r="O97" i="3" s="1"/>
  <c r="P97" i="3" s="1"/>
  <c r="Q97" i="3" s="1"/>
  <c r="K98" i="3"/>
  <c r="K99" i="3"/>
  <c r="K100" i="3"/>
  <c r="K101" i="3"/>
  <c r="K102" i="3"/>
  <c r="K103" i="3"/>
  <c r="K104" i="3"/>
  <c r="K105" i="3"/>
  <c r="K106" i="3"/>
  <c r="K107" i="3"/>
  <c r="K108" i="3"/>
  <c r="K109" i="3"/>
  <c r="M109" i="3" s="1"/>
  <c r="O109" i="3" s="1"/>
  <c r="P109" i="3" s="1"/>
  <c r="Q109" i="3" s="1"/>
  <c r="K110" i="3"/>
  <c r="K111" i="3"/>
  <c r="K112" i="3"/>
  <c r="K113" i="3"/>
  <c r="K114" i="3"/>
  <c r="K115" i="3"/>
  <c r="K116" i="3"/>
  <c r="K117" i="3"/>
  <c r="K118" i="3"/>
  <c r="K119" i="3"/>
  <c r="K120" i="3"/>
  <c r="M120" i="3" s="1"/>
  <c r="O120" i="3" s="1"/>
  <c r="P120" i="3" s="1"/>
  <c r="Q120" i="3" s="1"/>
  <c r="K121" i="3"/>
  <c r="M121" i="3" s="1"/>
  <c r="O121" i="3" s="1"/>
  <c r="P121" i="3" s="1"/>
  <c r="Q121" i="3" s="1"/>
  <c r="K122" i="3"/>
  <c r="K123" i="3"/>
  <c r="K124" i="3"/>
  <c r="K125" i="3"/>
  <c r="K126" i="3"/>
  <c r="K127" i="3"/>
  <c r="K128" i="3"/>
  <c r="K129" i="3"/>
  <c r="K130" i="3"/>
  <c r="K131" i="3"/>
  <c r="K132" i="3"/>
  <c r="K133" i="3"/>
  <c r="M133" i="3" s="1"/>
  <c r="O133" i="3" s="1"/>
  <c r="P133" i="3" s="1"/>
  <c r="Q133" i="3" s="1"/>
  <c r="K134" i="3"/>
  <c r="K135" i="3"/>
  <c r="K136" i="3"/>
  <c r="K137" i="3"/>
  <c r="K138" i="3"/>
  <c r="K139" i="3"/>
  <c r="K140" i="3"/>
  <c r="K141" i="3"/>
  <c r="K142" i="3"/>
  <c r="K143" i="3"/>
  <c r="K144" i="3"/>
  <c r="K145" i="3"/>
  <c r="M145" i="3" s="1"/>
  <c r="O145" i="3" s="1"/>
  <c r="P145" i="3" s="1"/>
  <c r="Q145" i="3" s="1"/>
  <c r="K146" i="3"/>
  <c r="K147" i="3"/>
  <c r="K148" i="3"/>
  <c r="K149" i="3"/>
  <c r="K150" i="3"/>
  <c r="K151" i="3"/>
  <c r="K152" i="3"/>
  <c r="K153" i="3"/>
  <c r="K154" i="3"/>
  <c r="K155" i="3"/>
  <c r="K156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K2" i="3"/>
  <c r="J2" i="3"/>
  <c r="K182" i="3"/>
  <c r="J182" i="3"/>
  <c r="K181" i="3"/>
  <c r="J181" i="3"/>
  <c r="K180" i="3"/>
  <c r="J180" i="3"/>
  <c r="K179" i="3"/>
  <c r="J179" i="3"/>
  <c r="K178" i="3"/>
  <c r="J178" i="3"/>
  <c r="K177" i="3"/>
  <c r="J177" i="3"/>
  <c r="K176" i="3"/>
  <c r="J176" i="3"/>
  <c r="K175" i="3"/>
  <c r="J175" i="3"/>
  <c r="K174" i="3"/>
  <c r="J174" i="3"/>
  <c r="K173" i="3"/>
  <c r="J173" i="3"/>
  <c r="K172" i="3"/>
  <c r="J172" i="3"/>
  <c r="M172" i="3" s="1"/>
  <c r="O172" i="3" s="1"/>
  <c r="P172" i="3" s="1"/>
  <c r="Q172" i="3" s="1"/>
  <c r="K171" i="3"/>
  <c r="J171" i="3"/>
  <c r="K170" i="3"/>
  <c r="J170" i="3"/>
  <c r="K169" i="3"/>
  <c r="J169" i="3"/>
  <c r="K168" i="3"/>
  <c r="J168" i="3"/>
  <c r="K167" i="3"/>
  <c r="J167" i="3"/>
  <c r="K166" i="3"/>
  <c r="J166" i="3"/>
  <c r="K165" i="3"/>
  <c r="J165" i="3"/>
  <c r="K164" i="3"/>
  <c r="J164" i="3"/>
  <c r="K163" i="3"/>
  <c r="J163" i="3"/>
  <c r="K162" i="3"/>
  <c r="J162" i="3"/>
  <c r="K161" i="3"/>
  <c r="J161" i="3"/>
  <c r="K160" i="3"/>
  <c r="J160" i="3"/>
  <c r="K159" i="3"/>
  <c r="J159" i="3"/>
  <c r="M159" i="3" s="1"/>
  <c r="O159" i="3" s="1"/>
  <c r="P159" i="3" s="1"/>
  <c r="Q159" i="3" s="1"/>
  <c r="K158" i="3"/>
  <c r="J158" i="3"/>
  <c r="K157" i="3"/>
  <c r="J157" i="3"/>
  <c r="M151" i="3" l="1"/>
  <c r="O151" i="3" s="1"/>
  <c r="P151" i="3" s="1"/>
  <c r="Q151" i="3" s="1"/>
  <c r="M139" i="3"/>
  <c r="O139" i="3" s="1"/>
  <c r="P139" i="3" s="1"/>
  <c r="Q139" i="3" s="1"/>
  <c r="M127" i="3"/>
  <c r="O127" i="3" s="1"/>
  <c r="P127" i="3" s="1"/>
  <c r="Q127" i="3" s="1"/>
  <c r="M115" i="3"/>
  <c r="O115" i="3" s="1"/>
  <c r="P115" i="3" s="1"/>
  <c r="Q115" i="3" s="1"/>
  <c r="M103" i="3"/>
  <c r="O103" i="3" s="1"/>
  <c r="P103" i="3" s="1"/>
  <c r="Q103" i="3" s="1"/>
  <c r="M91" i="3"/>
  <c r="O91" i="3" s="1"/>
  <c r="P91" i="3" s="1"/>
  <c r="Q91" i="3" s="1"/>
  <c r="M79" i="3"/>
  <c r="O79" i="3" s="1"/>
  <c r="P79" i="3" s="1"/>
  <c r="Q79" i="3" s="1"/>
  <c r="M67" i="3"/>
  <c r="O67" i="3" s="1"/>
  <c r="P67" i="3" s="1"/>
  <c r="Q67" i="3" s="1"/>
  <c r="M55" i="3"/>
  <c r="O55" i="3" s="1"/>
  <c r="P55" i="3" s="1"/>
  <c r="Q55" i="3" s="1"/>
  <c r="M43" i="3"/>
  <c r="O43" i="3" s="1"/>
  <c r="P43" i="3" s="1"/>
  <c r="Q43" i="3" s="1"/>
  <c r="M142" i="3"/>
  <c r="O142" i="3" s="1"/>
  <c r="P142" i="3" s="1"/>
  <c r="Q142" i="3" s="1"/>
  <c r="M130" i="3"/>
  <c r="O130" i="3" s="1"/>
  <c r="P130" i="3" s="1"/>
  <c r="Q130" i="3" s="1"/>
  <c r="M118" i="3"/>
  <c r="O118" i="3" s="1"/>
  <c r="P118" i="3" s="1"/>
  <c r="Q118" i="3" s="1"/>
  <c r="M154" i="3"/>
  <c r="O154" i="3" s="1"/>
  <c r="P154" i="3" s="1"/>
  <c r="Q154" i="3" s="1"/>
  <c r="M31" i="3"/>
  <c r="O31" i="3" s="1"/>
  <c r="P31" i="3" s="1"/>
  <c r="Q31" i="3" s="1"/>
  <c r="M19" i="3"/>
  <c r="O19" i="3" s="1"/>
  <c r="P19" i="3" s="1"/>
  <c r="Q19" i="3" s="1"/>
  <c r="M7" i="3"/>
  <c r="O7" i="3" s="1"/>
  <c r="P7" i="3" s="1"/>
  <c r="Q7" i="3" s="1"/>
  <c r="M150" i="3"/>
  <c r="O150" i="3" s="1"/>
  <c r="P150" i="3" s="1"/>
  <c r="Q150" i="3" s="1"/>
  <c r="M126" i="3"/>
  <c r="O126" i="3" s="1"/>
  <c r="P126" i="3" s="1"/>
  <c r="Q126" i="3" s="1"/>
  <c r="M114" i="3"/>
  <c r="O114" i="3" s="1"/>
  <c r="P114" i="3" s="1"/>
  <c r="Q114" i="3" s="1"/>
  <c r="M102" i="3"/>
  <c r="O102" i="3" s="1"/>
  <c r="P102" i="3" s="1"/>
  <c r="Q102" i="3" s="1"/>
  <c r="M90" i="3"/>
  <c r="O90" i="3" s="1"/>
  <c r="P90" i="3" s="1"/>
  <c r="Q90" i="3" s="1"/>
  <c r="M78" i="3"/>
  <c r="O78" i="3" s="1"/>
  <c r="P78" i="3" s="1"/>
  <c r="Q78" i="3" s="1"/>
  <c r="M66" i="3"/>
  <c r="O66" i="3" s="1"/>
  <c r="P66" i="3" s="1"/>
  <c r="Q66" i="3" s="1"/>
  <c r="M54" i="3"/>
  <c r="O54" i="3" s="1"/>
  <c r="P54" i="3" s="1"/>
  <c r="Q54" i="3" s="1"/>
  <c r="M42" i="3"/>
  <c r="O42" i="3" s="1"/>
  <c r="P42" i="3" s="1"/>
  <c r="Q42" i="3" s="1"/>
  <c r="M30" i="3"/>
  <c r="O30" i="3" s="1"/>
  <c r="P30" i="3" s="1"/>
  <c r="Q30" i="3" s="1"/>
  <c r="M18" i="3"/>
  <c r="O18" i="3" s="1"/>
  <c r="P18" i="3" s="1"/>
  <c r="Q18" i="3" s="1"/>
  <c r="M138" i="3"/>
  <c r="O138" i="3" s="1"/>
  <c r="P138" i="3" s="1"/>
  <c r="Q138" i="3" s="1"/>
  <c r="M173" i="3"/>
  <c r="O173" i="3" s="1"/>
  <c r="P173" i="3" s="1"/>
  <c r="Q173" i="3" s="1"/>
  <c r="M6" i="3"/>
  <c r="O6" i="3" s="1"/>
  <c r="P6" i="3" s="1"/>
  <c r="Q6" i="3" s="1"/>
  <c r="M168" i="3"/>
  <c r="O168" i="3" s="1"/>
  <c r="P168" i="3" s="1"/>
  <c r="Q168" i="3" s="1"/>
  <c r="M161" i="3"/>
  <c r="O161" i="3" s="1"/>
  <c r="P161" i="3" s="1"/>
  <c r="Q161" i="3" s="1"/>
  <c r="M179" i="3"/>
  <c r="O179" i="3" s="1"/>
  <c r="P179" i="3" s="1"/>
  <c r="Q179" i="3" s="1"/>
  <c r="M157" i="3"/>
  <c r="O157" i="3" s="1"/>
  <c r="P157" i="3" s="1"/>
  <c r="Q157" i="3" s="1"/>
  <c r="M169" i="3"/>
  <c r="O169" i="3" s="1"/>
  <c r="P169" i="3" s="1"/>
  <c r="Q169" i="3" s="1"/>
  <c r="M147" i="3"/>
  <c r="O147" i="3" s="1"/>
  <c r="P147" i="3" s="1"/>
  <c r="Q147" i="3" s="1"/>
  <c r="M135" i="3"/>
  <c r="O135" i="3" s="1"/>
  <c r="P135" i="3" s="1"/>
  <c r="Q135" i="3" s="1"/>
  <c r="M123" i="3"/>
  <c r="O123" i="3" s="1"/>
  <c r="P123" i="3" s="1"/>
  <c r="Q123" i="3" s="1"/>
  <c r="M111" i="3"/>
  <c r="O111" i="3" s="1"/>
  <c r="P111" i="3" s="1"/>
  <c r="Q111" i="3" s="1"/>
  <c r="M99" i="3"/>
  <c r="O99" i="3" s="1"/>
  <c r="P99" i="3" s="1"/>
  <c r="Q99" i="3" s="1"/>
  <c r="M87" i="3"/>
  <c r="O87" i="3" s="1"/>
  <c r="P87" i="3" s="1"/>
  <c r="Q87" i="3" s="1"/>
  <c r="M75" i="3"/>
  <c r="O75" i="3" s="1"/>
  <c r="P75" i="3" s="1"/>
  <c r="Q75" i="3" s="1"/>
  <c r="M63" i="3"/>
  <c r="O63" i="3" s="1"/>
  <c r="P63" i="3" s="1"/>
  <c r="Q63" i="3" s="1"/>
  <c r="M51" i="3"/>
  <c r="O51" i="3" s="1"/>
  <c r="P51" i="3" s="1"/>
  <c r="Q51" i="3" s="1"/>
  <c r="M39" i="3"/>
  <c r="O39" i="3" s="1"/>
  <c r="P39" i="3" s="1"/>
  <c r="Q39" i="3" s="1"/>
  <c r="M27" i="3"/>
  <c r="O27" i="3" s="1"/>
  <c r="P27" i="3" s="1"/>
  <c r="Q27" i="3" s="1"/>
  <c r="M15" i="3"/>
  <c r="O15" i="3" s="1"/>
  <c r="P15" i="3" s="1"/>
  <c r="Q15" i="3" s="1"/>
  <c r="M3" i="3"/>
  <c r="O3" i="3" s="1"/>
  <c r="P3" i="3" s="1"/>
  <c r="Q3" i="3" s="1"/>
  <c r="M146" i="3"/>
  <c r="O146" i="3" s="1"/>
  <c r="P146" i="3" s="1"/>
  <c r="Q146" i="3" s="1"/>
  <c r="M134" i="3"/>
  <c r="O134" i="3" s="1"/>
  <c r="P134" i="3" s="1"/>
  <c r="Q134" i="3" s="1"/>
  <c r="M122" i="3"/>
  <c r="O122" i="3" s="1"/>
  <c r="P122" i="3" s="1"/>
  <c r="Q122" i="3" s="1"/>
  <c r="M110" i="3"/>
  <c r="O110" i="3" s="1"/>
  <c r="P110" i="3" s="1"/>
  <c r="Q110" i="3" s="1"/>
  <c r="M98" i="3"/>
  <c r="O98" i="3" s="1"/>
  <c r="P98" i="3" s="1"/>
  <c r="Q98" i="3" s="1"/>
  <c r="M86" i="3"/>
  <c r="O86" i="3" s="1"/>
  <c r="P86" i="3" s="1"/>
  <c r="Q86" i="3" s="1"/>
  <c r="M74" i="3"/>
  <c r="O74" i="3" s="1"/>
  <c r="P74" i="3" s="1"/>
  <c r="Q74" i="3" s="1"/>
  <c r="M62" i="3"/>
  <c r="O62" i="3" s="1"/>
  <c r="P62" i="3" s="1"/>
  <c r="Q62" i="3" s="1"/>
  <c r="M50" i="3"/>
  <c r="O50" i="3" s="1"/>
  <c r="P50" i="3" s="1"/>
  <c r="Q50" i="3" s="1"/>
  <c r="M38" i="3"/>
  <c r="O38" i="3" s="1"/>
  <c r="P38" i="3" s="1"/>
  <c r="Q38" i="3" s="1"/>
  <c r="M26" i="3"/>
  <c r="O26" i="3" s="1"/>
  <c r="P26" i="3" s="1"/>
  <c r="Q26" i="3" s="1"/>
  <c r="M14" i="3"/>
  <c r="O14" i="3" s="1"/>
  <c r="P14" i="3" s="1"/>
  <c r="Q14" i="3" s="1"/>
  <c r="M106" i="3"/>
  <c r="O106" i="3" s="1"/>
  <c r="P106" i="3" s="1"/>
  <c r="Q106" i="3" s="1"/>
  <c r="M94" i="3"/>
  <c r="O94" i="3" s="1"/>
  <c r="P94" i="3" s="1"/>
  <c r="Q94" i="3" s="1"/>
  <c r="M82" i="3"/>
  <c r="O82" i="3" s="1"/>
  <c r="P82" i="3" s="1"/>
  <c r="Q82" i="3" s="1"/>
  <c r="M70" i="3"/>
  <c r="O70" i="3" s="1"/>
  <c r="P70" i="3" s="1"/>
  <c r="Q70" i="3" s="1"/>
  <c r="M58" i="3"/>
  <c r="O58" i="3" s="1"/>
  <c r="P58" i="3" s="1"/>
  <c r="Q58" i="3" s="1"/>
  <c r="M46" i="3"/>
  <c r="O46" i="3" s="1"/>
  <c r="P46" i="3" s="1"/>
  <c r="Q46" i="3" s="1"/>
  <c r="M34" i="3"/>
  <c r="O34" i="3" s="1"/>
  <c r="P34" i="3" s="1"/>
  <c r="Q34" i="3" s="1"/>
  <c r="M22" i="3"/>
  <c r="O22" i="3" s="1"/>
  <c r="P22" i="3" s="1"/>
  <c r="Q22" i="3" s="1"/>
  <c r="M10" i="3"/>
  <c r="O10" i="3" s="1"/>
  <c r="P10" i="3" s="1"/>
  <c r="Q10" i="3" s="1"/>
  <c r="M180" i="3"/>
  <c r="O180" i="3" s="1"/>
  <c r="P180" i="3" s="1"/>
  <c r="Q180" i="3" s="1"/>
  <c r="M181" i="3"/>
  <c r="O181" i="3" s="1"/>
  <c r="P181" i="3" s="1"/>
  <c r="Q181" i="3" s="1"/>
  <c r="M144" i="3"/>
  <c r="O144" i="3" s="1"/>
  <c r="P144" i="3" s="1"/>
  <c r="Q144" i="3" s="1"/>
  <c r="M96" i="3"/>
  <c r="O96" i="3" s="1"/>
  <c r="P96" i="3" s="1"/>
  <c r="Q96" i="3" s="1"/>
  <c r="M72" i="3"/>
  <c r="O72" i="3" s="1"/>
  <c r="P72" i="3" s="1"/>
  <c r="Q72" i="3" s="1"/>
  <c r="M48" i="3"/>
  <c r="O48" i="3" s="1"/>
  <c r="P48" i="3" s="1"/>
  <c r="Q48" i="3" s="1"/>
  <c r="M160" i="3"/>
  <c r="O160" i="3" s="1"/>
  <c r="P160" i="3" s="1"/>
  <c r="Q160" i="3" s="1"/>
  <c r="M143" i="3"/>
  <c r="O143" i="3" s="1"/>
  <c r="P143" i="3" s="1"/>
  <c r="Q143" i="3" s="1"/>
  <c r="M153" i="3"/>
  <c r="O153" i="3" s="1"/>
  <c r="P153" i="3" s="1"/>
  <c r="Q153" i="3" s="1"/>
  <c r="M141" i="3"/>
  <c r="O141" i="3" s="1"/>
  <c r="P141" i="3" s="1"/>
  <c r="Q141" i="3" s="1"/>
  <c r="M129" i="3"/>
  <c r="O129" i="3" s="1"/>
  <c r="P129" i="3" s="1"/>
  <c r="Q129" i="3" s="1"/>
  <c r="M117" i="3"/>
  <c r="O117" i="3" s="1"/>
  <c r="P117" i="3" s="1"/>
  <c r="Q117" i="3" s="1"/>
  <c r="M105" i="3"/>
  <c r="O105" i="3" s="1"/>
  <c r="P105" i="3" s="1"/>
  <c r="Q105" i="3" s="1"/>
  <c r="M93" i="3"/>
  <c r="O93" i="3" s="1"/>
  <c r="P93" i="3" s="1"/>
  <c r="Q93" i="3" s="1"/>
  <c r="M81" i="3"/>
  <c r="O81" i="3" s="1"/>
  <c r="P81" i="3" s="1"/>
  <c r="Q81" i="3" s="1"/>
  <c r="M69" i="3"/>
  <c r="O69" i="3" s="1"/>
  <c r="P69" i="3" s="1"/>
  <c r="Q69" i="3" s="1"/>
  <c r="M57" i="3"/>
  <c r="O57" i="3" s="1"/>
  <c r="P57" i="3" s="1"/>
  <c r="Q57" i="3" s="1"/>
  <c r="M45" i="3"/>
  <c r="O45" i="3" s="1"/>
  <c r="P45" i="3" s="1"/>
  <c r="Q45" i="3" s="1"/>
  <c r="M33" i="3"/>
  <c r="O33" i="3" s="1"/>
  <c r="P33" i="3" s="1"/>
  <c r="Q33" i="3" s="1"/>
  <c r="M21" i="3"/>
  <c r="O21" i="3" s="1"/>
  <c r="P21" i="3" s="1"/>
  <c r="Q21" i="3" s="1"/>
  <c r="M9" i="3"/>
  <c r="O9" i="3" s="1"/>
  <c r="P9" i="3" s="1"/>
  <c r="Q9" i="3" s="1"/>
  <c r="M167" i="3"/>
  <c r="O167" i="3" s="1"/>
  <c r="P167" i="3" s="1"/>
  <c r="Q167" i="3" s="1"/>
  <c r="M152" i="3"/>
  <c r="O152" i="3" s="1"/>
  <c r="P152" i="3" s="1"/>
  <c r="Q152" i="3" s="1"/>
  <c r="M140" i="3"/>
  <c r="O140" i="3" s="1"/>
  <c r="P140" i="3" s="1"/>
  <c r="Q140" i="3" s="1"/>
  <c r="M128" i="3"/>
  <c r="O128" i="3" s="1"/>
  <c r="P128" i="3" s="1"/>
  <c r="Q128" i="3" s="1"/>
  <c r="M116" i="3"/>
  <c r="O116" i="3" s="1"/>
  <c r="P116" i="3" s="1"/>
  <c r="Q116" i="3" s="1"/>
  <c r="M104" i="3"/>
  <c r="O104" i="3" s="1"/>
  <c r="P104" i="3" s="1"/>
  <c r="Q104" i="3" s="1"/>
  <c r="M92" i="3"/>
  <c r="O92" i="3" s="1"/>
  <c r="P92" i="3" s="1"/>
  <c r="Q92" i="3" s="1"/>
  <c r="M80" i="3"/>
  <c r="O80" i="3" s="1"/>
  <c r="P80" i="3" s="1"/>
  <c r="Q80" i="3" s="1"/>
  <c r="M68" i="3"/>
  <c r="O68" i="3" s="1"/>
  <c r="P68" i="3" s="1"/>
  <c r="Q68" i="3" s="1"/>
  <c r="M56" i="3"/>
  <c r="O56" i="3" s="1"/>
  <c r="P56" i="3" s="1"/>
  <c r="Q56" i="3" s="1"/>
  <c r="M44" i="3"/>
  <c r="O44" i="3" s="1"/>
  <c r="P44" i="3" s="1"/>
  <c r="Q44" i="3" s="1"/>
  <c r="M32" i="3"/>
  <c r="O32" i="3" s="1"/>
  <c r="P32" i="3" s="1"/>
  <c r="Q32" i="3" s="1"/>
  <c r="M20" i="3"/>
  <c r="O20" i="3" s="1"/>
  <c r="P20" i="3" s="1"/>
  <c r="Q20" i="3" s="1"/>
  <c r="M8" i="3"/>
  <c r="O8" i="3" s="1"/>
  <c r="P8" i="3" s="1"/>
  <c r="Q8" i="3" s="1"/>
  <c r="M162" i="3"/>
  <c r="O162" i="3" s="1"/>
  <c r="P162" i="3" s="1"/>
  <c r="Q162" i="3" s="1"/>
  <c r="M174" i="3"/>
  <c r="O174" i="3" s="1"/>
  <c r="P174" i="3" s="1"/>
  <c r="Q174" i="3" s="1"/>
  <c r="M149" i="3"/>
  <c r="O149" i="3" s="1"/>
  <c r="P149" i="3" s="1"/>
  <c r="Q149" i="3" s="1"/>
  <c r="M137" i="3"/>
  <c r="O137" i="3" s="1"/>
  <c r="P137" i="3" s="1"/>
  <c r="Q137" i="3" s="1"/>
  <c r="M125" i="3"/>
  <c r="O125" i="3" s="1"/>
  <c r="P125" i="3" s="1"/>
  <c r="Q125" i="3" s="1"/>
  <c r="M113" i="3"/>
  <c r="O113" i="3" s="1"/>
  <c r="P113" i="3" s="1"/>
  <c r="Q113" i="3" s="1"/>
  <c r="M101" i="3"/>
  <c r="O101" i="3" s="1"/>
  <c r="P101" i="3" s="1"/>
  <c r="Q101" i="3" s="1"/>
  <c r="M89" i="3"/>
  <c r="O89" i="3" s="1"/>
  <c r="P89" i="3" s="1"/>
  <c r="Q89" i="3" s="1"/>
  <c r="M77" i="3"/>
  <c r="O77" i="3" s="1"/>
  <c r="P77" i="3" s="1"/>
  <c r="Q77" i="3" s="1"/>
  <c r="M65" i="3"/>
  <c r="O65" i="3" s="1"/>
  <c r="P65" i="3" s="1"/>
  <c r="Q65" i="3" s="1"/>
  <c r="M53" i="3"/>
  <c r="O53" i="3" s="1"/>
  <c r="P53" i="3" s="1"/>
  <c r="Q53" i="3" s="1"/>
  <c r="M41" i="3"/>
  <c r="O41" i="3" s="1"/>
  <c r="P41" i="3" s="1"/>
  <c r="Q41" i="3" s="1"/>
  <c r="M29" i="3"/>
  <c r="O29" i="3" s="1"/>
  <c r="P29" i="3" s="1"/>
  <c r="Q29" i="3" s="1"/>
  <c r="M17" i="3"/>
  <c r="O17" i="3" s="1"/>
  <c r="P17" i="3" s="1"/>
  <c r="Q17" i="3" s="1"/>
  <c r="M5" i="3"/>
  <c r="O5" i="3" s="1"/>
  <c r="P5" i="3" s="1"/>
  <c r="Q5" i="3" s="1"/>
  <c r="M148" i="3"/>
  <c r="O148" i="3" s="1"/>
  <c r="P148" i="3" s="1"/>
  <c r="Q148" i="3" s="1"/>
  <c r="M136" i="3"/>
  <c r="O136" i="3" s="1"/>
  <c r="P136" i="3" s="1"/>
  <c r="Q136" i="3" s="1"/>
  <c r="M124" i="3"/>
  <c r="O124" i="3" s="1"/>
  <c r="P124" i="3" s="1"/>
  <c r="Q124" i="3" s="1"/>
  <c r="M112" i="3"/>
  <c r="O112" i="3" s="1"/>
  <c r="P112" i="3" s="1"/>
  <c r="Q112" i="3" s="1"/>
  <c r="M100" i="3"/>
  <c r="O100" i="3" s="1"/>
  <c r="P100" i="3" s="1"/>
  <c r="Q100" i="3" s="1"/>
  <c r="M88" i="3"/>
  <c r="O88" i="3" s="1"/>
  <c r="P88" i="3" s="1"/>
  <c r="Q88" i="3" s="1"/>
  <c r="M76" i="3"/>
  <c r="O76" i="3" s="1"/>
  <c r="P76" i="3" s="1"/>
  <c r="Q76" i="3" s="1"/>
  <c r="M64" i="3"/>
  <c r="O64" i="3" s="1"/>
  <c r="P64" i="3" s="1"/>
  <c r="Q64" i="3" s="1"/>
  <c r="M52" i="3"/>
  <c r="O52" i="3" s="1"/>
  <c r="P52" i="3" s="1"/>
  <c r="Q52" i="3" s="1"/>
  <c r="M40" i="3"/>
  <c r="O40" i="3" s="1"/>
  <c r="P40" i="3" s="1"/>
  <c r="Q40" i="3" s="1"/>
  <c r="M28" i="3"/>
  <c r="O28" i="3" s="1"/>
  <c r="P28" i="3" s="1"/>
  <c r="Q28" i="3" s="1"/>
  <c r="M16" i="3"/>
  <c r="O16" i="3" s="1"/>
  <c r="P16" i="3" s="1"/>
  <c r="Q16" i="3" s="1"/>
  <c r="M4" i="3"/>
  <c r="O4" i="3" s="1"/>
  <c r="P4" i="3" s="1"/>
  <c r="Q4" i="3" s="1"/>
  <c r="M158" i="3"/>
  <c r="O158" i="3" s="1"/>
  <c r="P158" i="3" s="1"/>
  <c r="Q158" i="3" s="1"/>
  <c r="M170" i="3"/>
  <c r="O170" i="3" s="1"/>
  <c r="P170" i="3" s="1"/>
  <c r="Q170" i="3" s="1"/>
  <c r="M182" i="3"/>
  <c r="O182" i="3" s="1"/>
  <c r="P182" i="3" s="1"/>
  <c r="Q182" i="3" s="1"/>
  <c r="M156" i="3"/>
  <c r="O156" i="3" s="1"/>
  <c r="P156" i="3" s="1"/>
  <c r="Q156" i="3" s="1"/>
  <c r="M132" i="3"/>
  <c r="O132" i="3" s="1"/>
  <c r="P132" i="3" s="1"/>
  <c r="Q132" i="3" s="1"/>
  <c r="M108" i="3"/>
  <c r="O108" i="3" s="1"/>
  <c r="P108" i="3" s="1"/>
  <c r="Q108" i="3" s="1"/>
  <c r="M84" i="3"/>
  <c r="O84" i="3" s="1"/>
  <c r="P84" i="3" s="1"/>
  <c r="Q84" i="3" s="1"/>
  <c r="M60" i="3"/>
  <c r="O60" i="3" s="1"/>
  <c r="P60" i="3" s="1"/>
  <c r="Q60" i="3" s="1"/>
  <c r="M36" i="3"/>
  <c r="O36" i="3" s="1"/>
  <c r="P36" i="3" s="1"/>
  <c r="Q36" i="3" s="1"/>
  <c r="M12" i="3"/>
  <c r="O12" i="3" s="1"/>
  <c r="P12" i="3" s="1"/>
  <c r="Q12" i="3" s="1"/>
  <c r="M171" i="3"/>
  <c r="O171" i="3" s="1"/>
  <c r="P171" i="3" s="1"/>
  <c r="Q171" i="3" s="1"/>
  <c r="M2" i="3"/>
  <c r="O2" i="3" s="1"/>
  <c r="M155" i="3"/>
  <c r="O155" i="3" s="1"/>
  <c r="P155" i="3" s="1"/>
  <c r="Q155" i="3" s="1"/>
  <c r="M131" i="3"/>
  <c r="O131" i="3" s="1"/>
  <c r="P131" i="3" s="1"/>
  <c r="Q131" i="3" s="1"/>
  <c r="M119" i="3"/>
  <c r="O119" i="3" s="1"/>
  <c r="P119" i="3" s="1"/>
  <c r="Q119" i="3" s="1"/>
  <c r="M107" i="3"/>
  <c r="O107" i="3" s="1"/>
  <c r="P107" i="3" s="1"/>
  <c r="Q107" i="3" s="1"/>
  <c r="M95" i="3"/>
  <c r="O95" i="3" s="1"/>
  <c r="P95" i="3" s="1"/>
  <c r="Q95" i="3" s="1"/>
  <c r="M83" i="3"/>
  <c r="O83" i="3" s="1"/>
  <c r="P83" i="3" s="1"/>
  <c r="Q83" i="3" s="1"/>
  <c r="M71" i="3"/>
  <c r="O71" i="3" s="1"/>
  <c r="P71" i="3" s="1"/>
  <c r="Q71" i="3" s="1"/>
  <c r="M59" i="3"/>
  <c r="O59" i="3" s="1"/>
  <c r="P59" i="3" s="1"/>
  <c r="Q59" i="3" s="1"/>
  <c r="M47" i="3"/>
  <c r="O47" i="3" s="1"/>
  <c r="P47" i="3" s="1"/>
  <c r="Q47" i="3" s="1"/>
  <c r="M35" i="3"/>
  <c r="O35" i="3" s="1"/>
  <c r="P35" i="3" s="1"/>
  <c r="Q35" i="3" s="1"/>
  <c r="M23" i="3"/>
  <c r="O23" i="3" s="1"/>
  <c r="P23" i="3" s="1"/>
  <c r="Q23" i="3" s="1"/>
  <c r="M11" i="3"/>
  <c r="O11" i="3" s="1"/>
  <c r="P11" i="3" s="1"/>
  <c r="Q11" i="3" s="1"/>
  <c r="M164" i="3"/>
  <c r="O164" i="3" s="1"/>
  <c r="P164" i="3" s="1"/>
  <c r="Q164" i="3" s="1"/>
  <c r="M176" i="3"/>
  <c r="O176" i="3" s="1"/>
  <c r="P176" i="3" s="1"/>
  <c r="Q176" i="3" s="1"/>
  <c r="M165" i="3"/>
  <c r="O165" i="3" s="1"/>
  <c r="P165" i="3" s="1"/>
  <c r="Q165" i="3" s="1"/>
  <c r="M177" i="3"/>
  <c r="O177" i="3" s="1"/>
  <c r="P177" i="3" s="1"/>
  <c r="Q177" i="3" s="1"/>
  <c r="M166" i="3"/>
  <c r="O166" i="3" s="1"/>
  <c r="P166" i="3" s="1"/>
  <c r="Q166" i="3" s="1"/>
  <c r="M178" i="3"/>
  <c r="O178" i="3" s="1"/>
  <c r="P178" i="3" s="1"/>
  <c r="Q178" i="3" s="1"/>
  <c r="M163" i="3"/>
  <c r="O163" i="3" s="1"/>
  <c r="P163" i="3" s="1"/>
  <c r="Q163" i="3" s="1"/>
  <c r="M175" i="3"/>
  <c r="O175" i="3" s="1"/>
  <c r="P175" i="3" s="1"/>
  <c r="Q175" i="3" s="1"/>
  <c r="G8" i="1"/>
  <c r="O186" i="3" l="1"/>
  <c r="P2" i="3"/>
  <c r="G17" i="1"/>
  <c r="G18" i="1" s="1"/>
  <c r="P186" i="3" l="1"/>
  <c r="Q186" i="3" s="1"/>
  <c r="Q2" i="3"/>
  <c r="G19" i="1"/>
</calcChain>
</file>

<file path=xl/sharedStrings.xml><?xml version="1.0" encoding="utf-8"?>
<sst xmlns="http://schemas.openxmlformats.org/spreadsheetml/2006/main" count="1139" uniqueCount="344">
  <si>
    <t xml:space="preserve"> ( ELORA CREATIVE ART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PLOT NO. 55, STREET NO.2, MILKMAN COLONY, JODHPUR. (RAJ.)-342008                                                                                                             
GST NO: 08AXYPK1335R1ZJ</t>
  </si>
  <si>
    <t>Request for quotation(RFQ)</t>
  </si>
  <si>
    <t>Contact Person name (vendor)</t>
  </si>
  <si>
    <t>SHADAB KHAN</t>
  </si>
  <si>
    <t>Contact Person no. (vendor)</t>
  </si>
  <si>
    <t>Sl. No.</t>
  </si>
  <si>
    <t>Description</t>
  </si>
  <si>
    <t>Transport Mode</t>
  </si>
  <si>
    <t>Quantity</t>
  </si>
  <si>
    <t>UOM/Sqft/Km</t>
  </si>
  <si>
    <t>Unit Price</t>
  </si>
  <si>
    <t>Amount</t>
  </si>
  <si>
    <t>TRANSPORTATION</t>
  </si>
  <si>
    <t>Total Amount before tax</t>
  </si>
  <si>
    <t>Taxes/GST @ 18%</t>
  </si>
  <si>
    <t>Total Amount After tax</t>
  </si>
  <si>
    <t>Billing will be done only on basis of acceptance of this Quotation.</t>
  </si>
  <si>
    <t>Delivery deadline:As per requirement Of material</t>
  </si>
  <si>
    <t>Payment terms:Due after 30-35 days of submission of invoices &amp; supported documents</t>
  </si>
  <si>
    <t>All materials should be as per specified and approved specifications</t>
  </si>
  <si>
    <t>All rates are inclusive of sampling,production,installation,packaging and transportation etc. at all locations.</t>
  </si>
  <si>
    <t>In case of a missed deadline,company reserves the right to reject the delivery and payment.</t>
  </si>
  <si>
    <t xml:space="preserve">                                                        (For Vendor use only)
Prepared By:-  SHADAB KHAN
Contact No:-  9799333000
Signature:-</t>
  </si>
  <si>
    <t>(For relame use only)
Name of approver:-
EMP ID:-
Signature:-</t>
  </si>
  <si>
    <r>
      <rPr>
        <b/>
        <sz val="11"/>
        <rFont val="Calibri"/>
        <family val="2"/>
        <scheme val="minor"/>
      </rPr>
      <t>Terms &amp; Conditions</t>
    </r>
    <r>
      <rPr>
        <sz val="11"/>
        <rFont val="Calibri"/>
        <family val="2"/>
        <scheme val="minor"/>
      </rPr>
      <t>:</t>
    </r>
  </si>
  <si>
    <t>S.no</t>
  </si>
  <si>
    <t>Store Code</t>
  </si>
  <si>
    <t>Store name</t>
  </si>
  <si>
    <t>City</t>
  </si>
  <si>
    <t>Address</t>
  </si>
  <si>
    <t>Mobile No</t>
  </si>
  <si>
    <t>Element</t>
  </si>
  <si>
    <t>Width
(Inch)</t>
  </si>
  <si>
    <t>Height
(Inch)</t>
  </si>
  <si>
    <t>Width
(feet)</t>
  </si>
  <si>
    <t>Height
(feet)</t>
  </si>
  <si>
    <t>QTY</t>
  </si>
  <si>
    <t>Sq.Ft</t>
  </si>
  <si>
    <t>Rate</t>
  </si>
  <si>
    <t>Tax</t>
  </si>
  <si>
    <t>Total</t>
  </si>
  <si>
    <t>Senfa Fabric Print Change</t>
  </si>
  <si>
    <t>VOS</t>
  </si>
  <si>
    <t>DLSE9729</t>
  </si>
  <si>
    <t>DLZH6827</t>
  </si>
  <si>
    <t>IN005980</t>
  </si>
  <si>
    <t>IN040975</t>
  </si>
  <si>
    <t>IN055769</t>
  </si>
  <si>
    <t>IN048386</t>
  </si>
  <si>
    <t>IN048707</t>
  </si>
  <si>
    <t>IN048384</t>
  </si>
  <si>
    <t>IN015986</t>
  </si>
  <si>
    <t>IN056828</t>
  </si>
  <si>
    <t>IN001336</t>
  </si>
  <si>
    <t>IN037698</t>
  </si>
  <si>
    <t>IN002301</t>
  </si>
  <si>
    <t>IN022483</t>
  </si>
  <si>
    <t>DLMC8356</t>
  </si>
  <si>
    <t>IN002787</t>
  </si>
  <si>
    <t>IN027596</t>
  </si>
  <si>
    <t>IN061566</t>
  </si>
  <si>
    <t>IN001190</t>
  </si>
  <si>
    <t>IN066216</t>
  </si>
  <si>
    <t>IN002464</t>
  </si>
  <si>
    <t>DLHJ3072</t>
  </si>
  <si>
    <t>DLAE1596</t>
  </si>
  <si>
    <t>IN047425</t>
  </si>
  <si>
    <t>DLDA6184</t>
  </si>
  <si>
    <t>IN066919</t>
  </si>
  <si>
    <t>DLCA4888</t>
  </si>
  <si>
    <t>IN065241</t>
  </si>
  <si>
    <t>DLHA1595</t>
  </si>
  <si>
    <t>IN068803</t>
  </si>
  <si>
    <t>IN065892</t>
  </si>
  <si>
    <t>DLXW8052</t>
  </si>
  <si>
    <t>IN001466</t>
  </si>
  <si>
    <t>IN047273</t>
  </si>
  <si>
    <t>DLKA5397</t>
  </si>
  <si>
    <t>IN029128</t>
  </si>
  <si>
    <t>In028817</t>
  </si>
  <si>
    <t>IN036004</t>
  </si>
  <si>
    <t>IN069974</t>
  </si>
  <si>
    <t>DLZB6540</t>
  </si>
  <si>
    <t>IN002874</t>
  </si>
  <si>
    <t>DLPN1500</t>
  </si>
  <si>
    <t>IN071979</t>
  </si>
  <si>
    <t>DLGJ3552</t>
  </si>
  <si>
    <t>IN059647</t>
  </si>
  <si>
    <t>IN029319</t>
  </si>
  <si>
    <t>IN025658</t>
  </si>
  <si>
    <t>DLPJ4815</t>
  </si>
  <si>
    <t>IN024653</t>
  </si>
  <si>
    <t>IN057624</t>
  </si>
  <si>
    <t>DLZJ5924</t>
  </si>
  <si>
    <t>IN002844</t>
  </si>
  <si>
    <t>RAMESHWAR MOBILES</t>
  </si>
  <si>
    <t>Smarty Mobile And Electronics</t>
  </si>
  <si>
    <t>Welcome Mobile &amp; Electronics(In005980)</t>
  </si>
  <si>
    <t>Parmeshwar Mobile(In040975)</t>
  </si>
  <si>
    <t>Ambey Mobile Showroom And Electronic(In055769)</t>
  </si>
  <si>
    <t>Somnath Mobile &amp; Seles And Service(In048386)</t>
  </si>
  <si>
    <t>Hansraj Mobiles(In048707)</t>
  </si>
  <si>
    <t>Bhawani Mobiles(In048384)</t>
  </si>
  <si>
    <t>SHREENATH MOBILE PLANET</t>
  </si>
  <si>
    <t>PARAGON MOBILES</t>
  </si>
  <si>
    <t>S S Selection</t>
  </si>
  <si>
    <t>BHAWANA MOBILE POINT</t>
  </si>
  <si>
    <t>Fusion Electro World</t>
  </si>
  <si>
    <t>Nakoda Mobile And Investment</t>
  </si>
  <si>
    <t>Shree Hardev General Store</t>
  </si>
  <si>
    <t>Perfect Mobile Zone(In002787)</t>
  </si>
  <si>
    <t>Mehta Mobile And Electronics</t>
  </si>
  <si>
    <t>Udaipur Mobile World</t>
  </si>
  <si>
    <t>LUCKY ELECTRONICS AND MOBILE(IN001190)</t>
  </si>
  <si>
    <t>MANOMAY ENTERPRISES(IN066216)</t>
  </si>
  <si>
    <t>SAHELI MOBILE POINT(IN002464)</t>
  </si>
  <si>
    <t>B.R. MONILE AND ELECTRONICS</t>
  </si>
  <si>
    <t>Bhairav Mobile Saradargarh</t>
  </si>
  <si>
    <t>Bherunath Mobile(In047425)</t>
  </si>
  <si>
    <t>Shree Dev Mobile And Electronic</t>
  </si>
  <si>
    <t>New Laxmi Telecom(In066919)</t>
  </si>
  <si>
    <t>Shree Ram Mobile And Electronic Khamnore</t>
  </si>
  <si>
    <t>New Infotech(In065241)</t>
  </si>
  <si>
    <t>Mahima Mobile Devgarh</t>
  </si>
  <si>
    <t>Shree Kunteshwar Mobile(In068803)</t>
  </si>
  <si>
    <t>Mobiworld Nathdwara(In065892)</t>
  </si>
  <si>
    <t>Shreeram Mobile</t>
  </si>
  <si>
    <t>Mansuri Watch &amp; Electriconics(In001466)</t>
  </si>
  <si>
    <t>New Ashapura Mobile(In047273)</t>
  </si>
  <si>
    <t>AL BURHANI ENTERPRISES</t>
  </si>
  <si>
    <t>Geetansh Mobile  (Prakash mobile)</t>
  </si>
  <si>
    <t>Gurukripa Enterprises(In029128)</t>
  </si>
  <si>
    <t>Royal Mobile And Opticals(In028817)</t>
  </si>
  <si>
    <t>Nirmala Enterprises(In036004)</t>
  </si>
  <si>
    <t>Paras Mobile Point(In069974)</t>
  </si>
  <si>
    <t>Rp Mobile And Electronics</t>
  </si>
  <si>
    <t>Archana Mobile Shopee(In002874)</t>
  </si>
  <si>
    <t>Rajendra Enterprise</t>
  </si>
  <si>
    <t>Vardhman Infotech(In071979)</t>
  </si>
  <si>
    <t>Aish Mobile</t>
  </si>
  <si>
    <t>FRIENDS MOBILE(IN059647)</t>
  </si>
  <si>
    <t>Basta Watch And Mobile(In029319)</t>
  </si>
  <si>
    <t>Panchratna Mobile And Computer(In025658)</t>
  </si>
  <si>
    <t>Krishna Mobile  Badgi</t>
  </si>
  <si>
    <t>Liberty Mobile(In024653)</t>
  </si>
  <si>
    <t>Mobile Masti(In057624)</t>
  </si>
  <si>
    <t>Mangalam Mobile</t>
  </si>
  <si>
    <t>Kamal Mobile World(In002844)</t>
  </si>
  <si>
    <t>Sirohi</t>
  </si>
  <si>
    <t>Abu Road</t>
  </si>
  <si>
    <t xml:space="preserve"> SWAROOPGANJ</t>
  </si>
  <si>
    <t>KAROTI</t>
  </si>
  <si>
    <t>REODAR</t>
  </si>
  <si>
    <t>Shivganj</t>
  </si>
  <si>
    <t>Udaipur</t>
  </si>
  <si>
    <t>dabok</t>
  </si>
  <si>
    <t>KUNWARIYA</t>
  </si>
  <si>
    <t>Amet</t>
  </si>
  <si>
    <t>NATHDWARA</t>
  </si>
  <si>
    <t xml:space="preserve"> KAMLIGAAT</t>
  </si>
  <si>
    <t>saradargarh</t>
  </si>
  <si>
    <t>Rajsamand</t>
  </si>
  <si>
    <t>kamlighat</t>
  </si>
  <si>
    <t>BHIM</t>
  </si>
  <si>
    <t>khamnor</t>
  </si>
  <si>
    <t>Deogarh</t>
  </si>
  <si>
    <t>Nathdwara</t>
  </si>
  <si>
    <t>RAILMAGRA</t>
  </si>
  <si>
    <t>Chota doongra</t>
  </si>
  <si>
    <t xml:space="preserve"> sajjangrah</t>
  </si>
  <si>
    <t>Banswara</t>
  </si>
  <si>
    <t xml:space="preserve"> Arthoona</t>
  </si>
  <si>
    <t>ghatol</t>
  </si>
  <si>
    <t>partapur</t>
  </si>
  <si>
    <t>kushalgarh</t>
  </si>
  <si>
    <t>bagidora</t>
  </si>
  <si>
    <t>kushslgarh</t>
  </si>
  <si>
    <t>sagwara</t>
  </si>
  <si>
    <t>Sagwara</t>
  </si>
  <si>
    <t>Dungarpur</t>
  </si>
  <si>
    <t>Badgi</t>
  </si>
  <si>
    <t>Aaspur</t>
  </si>
  <si>
    <t>shop no 3 /4 , om tower ,new bus stand , sirohi</t>
  </si>
  <si>
    <t>opposite Central Bank of India</t>
  </si>
  <si>
    <t>01, JADA GALL SWAROOPGANJ, SIROHI, RAJASTHAN</t>
  </si>
  <si>
    <t>0, , , MAIN MARKET, SHIV SHAKTI COMPLEX, Sirohi</t>
  </si>
  <si>
    <t>MAIN ROAD, GHANCHI DHARMSHALA KE SAMNE, JAWAL, Sirohi, Rajasthan, 307801</t>
  </si>
  <si>
    <t>BUS STOP KAROTI Sirohi</t>
  </si>
  <si>
    <t>BUS STAND REODAR Sirohi</t>
  </si>
  <si>
    <t>GROUND FLOOR MANAK COMPLEX NEAR NEW BUS STAND Sirohi</t>
  </si>
  <si>
    <t>16,inside udyapol hotel sravritu vilas building,udaipur</t>
  </si>
  <si>
    <t>23, udiapol ambe palace ke samne, udaipur rajasthan</t>
  </si>
  <si>
    <t>86 A, Bapu Bazar Udaipur</t>
  </si>
  <si>
    <t>Shop no.4 dabok chouraha Udaipur</t>
  </si>
  <si>
    <t>Shop no.4 dabok chouraha</t>
  </si>
  <si>
    <t>SHOP NO. 1-2 MEERA PLAZA COMMUNITY HALL ROAD SHAKTI NAGAR UDAIPUR</t>
  </si>
  <si>
    <t>Petrol pump road hiran magri sec.4</t>
  </si>
  <si>
    <t>dharam talai ,umrada</t>
  </si>
  <si>
    <t>INSIDE UDIAPOL OPP HOTEL SHALIMAR</t>
  </si>
  <si>
    <t>67, purohiton ki madri opp. Lipidata system udaipur</t>
  </si>
  <si>
    <t>Hiran mangri sec.4 opp national mishan bhandar</t>
  </si>
  <si>
    <t>KUNWARIYA,RAJSAMAND</t>
  </si>
  <si>
    <t>NEAR SBI BANK HOSPITAL ROAD Rajsamand</t>
  </si>
  <si>
    <t>NEAR RAJDEEP HOTEL NATHDWARA Rajsamand</t>
  </si>
  <si>
    <t>BR MOBILE SHOP, KALYAN MARKET NEAR RMGB BANK KAMLIGAAT Rajsamand</t>
  </si>
  <si>
    <t>purana bus stand,saradargarh, rajsamand</t>
  </si>
  <si>
    <t>Jk mod opp.panjab national bank,kankroli</t>
  </si>
  <si>
    <t>vijaipura, kamlighat, deogarh Rajsamand</t>
  </si>
  <si>
    <t>PADAV, SADAR BAZAR, BHIM Rajsamand</t>
  </si>
  <si>
    <t>Shop no 02 near main bus stand khamnore nathdwara road nathdwara khamnor rajsamand Rajasthan</t>
  </si>
  <si>
    <t>NEAR AHILYA KUND NATHDWARA Rajsamand</t>
  </si>
  <si>
    <t>in front of SBI bank Deogarh Rajsamand</t>
  </si>
  <si>
    <t>1, NEW ROAD,NATHDWARA RAJSAMAND</t>
  </si>
  <si>
    <t>SHOP NO.2, UJJAVAL VATIKA</t>
  </si>
  <si>
    <t>neir iconic gate renu pales hotel bus stand Nathdwara Rajsamand</t>
  </si>
  <si>
    <t>RAILMAGRA,RAJSAMAND</t>
  </si>
  <si>
    <t>Pali road main market,kamlighat chauraya Rajsamand</t>
  </si>
  <si>
    <t>doongra khurd Banswara Rajasthan</t>
  </si>
  <si>
    <t>sajjangrah bus Stop 0 sajjangrah main rode sajjangrah banswara rajasthan 327602</t>
  </si>
  <si>
    <t>Gurukripa Enterprises ICICI Bank Ke Paas Arthoona Banswara 327032</t>
  </si>
  <si>
    <t>Royal Mobile And Opticals 0 Dailab Road Moha. Colony Banswara Rajasthan 327001</t>
  </si>
  <si>
    <t>Nirmala Enterprises ,Opposite Water Tank ,Ratlam Bus Stand ,Kishangarh Distt. Banswara 327801</t>
  </si>
  <si>
    <t>Munganiya mohalla Araji no 4881 ghatol banswara</t>
  </si>
  <si>
    <t>opp new bus stand garhi partapur banswara Rajasthan</t>
  </si>
  <si>
    <t>ARCHANA MOBILE SHOPEE,JAIL ROAD,HARIDEO GIRLS COLLEGE</t>
  </si>
  <si>
    <t>kushalgarh banswara Rajasthan</t>
  </si>
  <si>
    <t>Village anandapuri tehsil bagidora banswara</t>
  </si>
  <si>
    <t>Ward no 15 Roadways bus stand ke piche kushslgarh Banswara</t>
  </si>
  <si>
    <t>Ward no 15 Roadways bus stand ke piche kushslgarh</t>
  </si>
  <si>
    <t>Dungarpur road,near HA farma,sagwara Dungarpur</t>
  </si>
  <si>
    <t>Basta Watch And Mobile Upadhyay Market Shop no 4 Near Mahipal Maidan Sagwara Dungarpur 314025</t>
  </si>
  <si>
    <t>Near Axis Bank Opposite Diet Bhavan New Bus Stand Dungarpur 314001</t>
  </si>
  <si>
    <t>krishna mobile Nadiya road GN Honda showroom ke samne Dungarpur</t>
  </si>
  <si>
    <t>Liberty Mobile,Opportunity New Bus Stand ,Dungarpur Distt. Dungarpur 314001</t>
  </si>
  <si>
    <t>Opp HDFC Bank  Dungarpur road Dungarpur</t>
  </si>
  <si>
    <t>shop no 4 near kk pharma</t>
  </si>
  <si>
    <t>NEAR PARAS HOTEL ASPUR Dungarpur</t>
  </si>
  <si>
    <t>NEAR PARAS HOTEL ASPUR</t>
  </si>
  <si>
    <t>7014090617</t>
  </si>
  <si>
    <t>8619810146</t>
  </si>
  <si>
    <t>9828699699</t>
  </si>
  <si>
    <t>8112211608</t>
  </si>
  <si>
    <t>9166999833</t>
  </si>
  <si>
    <t>8529838310</t>
  </si>
  <si>
    <t>9782224666</t>
  </si>
  <si>
    <t>7014208770</t>
  </si>
  <si>
    <t>9461032048</t>
  </si>
  <si>
    <t>9829044439</t>
  </si>
  <si>
    <t>9829544835</t>
  </si>
  <si>
    <t>8058188152</t>
  </si>
  <si>
    <t>9829611778</t>
  </si>
  <si>
    <t>8233050000</t>
  </si>
  <si>
    <t>9950678868</t>
  </si>
  <si>
    <t>9799670000</t>
  </si>
  <si>
    <t>9887644442</t>
  </si>
  <si>
    <t>9057525460</t>
  </si>
  <si>
    <t>8233292863</t>
  </si>
  <si>
    <t>9602828336</t>
  </si>
  <si>
    <t>9829556422</t>
  </si>
  <si>
    <t>9983668790</t>
  </si>
  <si>
    <t>7891113222</t>
  </si>
  <si>
    <t>7023037259</t>
  </si>
  <si>
    <t>7976861661</t>
  </si>
  <si>
    <t>9602586323</t>
  </si>
  <si>
    <t>8107041781</t>
  </si>
  <si>
    <t>8562063178</t>
  </si>
  <si>
    <t>8875436109</t>
  </si>
  <si>
    <t>7737699954</t>
  </si>
  <si>
    <t>9653858580</t>
  </si>
  <si>
    <t>9782970786</t>
  </si>
  <si>
    <t>8949123955</t>
  </si>
  <si>
    <t>917733925253</t>
  </si>
  <si>
    <t>8890641450</t>
  </si>
  <si>
    <t>9610030318</t>
  </si>
  <si>
    <t>9828079529</t>
  </si>
  <si>
    <t>9602648484</t>
  </si>
  <si>
    <t>9950504403</t>
  </si>
  <si>
    <t>8233904593</t>
  </si>
  <si>
    <t>9829931800</t>
  </si>
  <si>
    <t>9828274388</t>
  </si>
  <si>
    <t>9829137112</t>
  </si>
  <si>
    <t>9783272188</t>
  </si>
  <si>
    <t>9929827641</t>
  </si>
  <si>
    <t>9829250131</t>
  </si>
  <si>
    <t>7737191020</t>
  </si>
  <si>
    <t>8118821103</t>
  </si>
  <si>
    <t>9982269345</t>
  </si>
  <si>
    <t>9928587182</t>
  </si>
  <si>
    <t>7014510710</t>
  </si>
  <si>
    <t>9929689744</t>
  </si>
  <si>
    <t>Vinyl</t>
  </si>
  <si>
    <t xml:space="preserve">                       </t>
  </si>
  <si>
    <t>One Way Vision</t>
  </si>
  <si>
    <t>Vinyl on 3mm Sunboard</t>
  </si>
  <si>
    <t>IN006501</t>
  </si>
  <si>
    <t>O.P. MOBILE REPAIRING POINT(IN006501)</t>
  </si>
  <si>
    <t>NAINWAN</t>
  </si>
  <si>
    <t>ROADWAYS BUS STAND,NAINWAN ,BUNDI(RAJ.)323801</t>
  </si>
  <si>
    <t>9829500788</t>
  </si>
  <si>
    <t>IN023520</t>
  </si>
  <si>
    <t>SAHU SALES(IN023520)</t>
  </si>
  <si>
    <t>Bundi</t>
  </si>
  <si>
    <t>BUNDI ROAD DEI BUNDI RAJASTHAN</t>
  </si>
  <si>
    <t>9950612221</t>
  </si>
  <si>
    <t>IN072398</t>
  </si>
  <si>
    <t>RATHORE TELECOM(IN072398)</t>
  </si>
  <si>
    <t>LAKHERI</t>
  </si>
  <si>
    <t>BANK OF BARODA KE PASS LAKHERI</t>
  </si>
  <si>
    <t>9001487648</t>
  </si>
  <si>
    <t>IN001093</t>
  </si>
  <si>
    <t>Raj Telecom(In001093)</t>
  </si>
  <si>
    <t>Shop No 6 Kenlanth mark tirth bundii</t>
  </si>
  <si>
    <t>8696660222</t>
  </si>
  <si>
    <t>IN002077</t>
  </si>
  <si>
    <t>Sudershan General Store(In002077)</t>
  </si>
  <si>
    <t>Kota Road</t>
  </si>
  <si>
    <t>9782070002</t>
  </si>
  <si>
    <t>IN023182</t>
  </si>
  <si>
    <t>New Shri Nath Mobile Shop</t>
  </si>
  <si>
    <t>SHOP NO07,YASH TOWER KHOJA GATE ROAD BUNDI RAJSTHAN 323001</t>
  </si>
  <si>
    <t>8003078583</t>
  </si>
  <si>
    <t>IN023524</t>
  </si>
  <si>
    <t>Shanky Mobilr Point</t>
  </si>
  <si>
    <t>WARD NO 19, MAIN MARKET, KESHORAIPATAN, Bundi, Rajasthan, 323601</t>
  </si>
  <si>
    <t>9782858585</t>
  </si>
  <si>
    <t>DLGX9731</t>
  </si>
  <si>
    <t>Ehda Mobile And Electronics</t>
  </si>
  <si>
    <t>Lanka gate ambedkar circle near by pwd office</t>
  </si>
  <si>
    <t>9950071920</t>
  </si>
  <si>
    <t>DLCY4257</t>
  </si>
  <si>
    <t>Shree Service</t>
  </si>
  <si>
    <t>118 gopal Singh plaza bundi</t>
  </si>
  <si>
    <t>9218863141</t>
  </si>
  <si>
    <t xml:space="preserve">Total </t>
  </si>
  <si>
    <t>Fabric Change</t>
  </si>
  <si>
    <t>Senfa Fabric Light Box</t>
  </si>
  <si>
    <t>Fabric Light Box</t>
  </si>
  <si>
    <t>Transportation-JODHPUR TO KUSHALGARH</t>
  </si>
  <si>
    <t>Transportation-JODHPUR TO LAKHERI</t>
  </si>
  <si>
    <t>RFQ NO. : EX81008095-2024-33</t>
  </si>
  <si>
    <t>Date:05/01/2026</t>
  </si>
  <si>
    <t>M/S K'NINE GLOBAL PVT LTD</t>
  </si>
  <si>
    <t>Quotation For : Inshop Branding</t>
  </si>
  <si>
    <r>
      <rPr>
        <b/>
        <sz val="11"/>
        <color rgb="FF000000"/>
        <rFont val="Calibri"/>
        <family val="2"/>
        <scheme val="minor"/>
      </rPr>
      <t>Amount in Words</t>
    </r>
    <r>
      <rPr>
        <sz val="11"/>
        <color rgb="FF000000"/>
        <rFont val="Calibri"/>
        <family val="2"/>
        <scheme val="minor"/>
      </rPr>
      <t xml:space="preserve">:  Five Paisa Only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</si>
</sst>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1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2" fontId="3" fillId="0" borderId="17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43" fontId="3" fillId="0" borderId="18" xfId="1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1" fontId="3" fillId="0" borderId="20" xfId="0" applyNumberFormat="1" applyFont="1" applyBorder="1" applyAlignment="1">
      <alignment horizontal="center" vertical="center" wrapText="1"/>
    </xf>
    <xf numFmtId="43" fontId="3" fillId="0" borderId="21" xfId="1" applyFont="1" applyFill="1" applyBorder="1" applyAlignment="1">
      <alignment horizontal="center" vertical="center" wrapText="1"/>
    </xf>
    <xf numFmtId="43" fontId="3" fillId="0" borderId="25" xfId="1" applyFont="1" applyFill="1" applyBorder="1" applyAlignment="1">
      <alignment horizontal="right" vertical="center" wrapText="1"/>
    </xf>
    <xf numFmtId="0" fontId="7" fillId="0" borderId="26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right" vertical="center" wrapText="1"/>
    </xf>
    <xf numFmtId="43" fontId="7" fillId="0" borderId="27" xfId="1" applyFont="1" applyFill="1" applyBorder="1" applyAlignment="1">
      <alignment horizontal="right" vertical="center" wrapText="1"/>
    </xf>
    <xf numFmtId="0" fontId="6" fillId="0" borderId="26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64" fontId="3" fillId="0" borderId="27" xfId="0" applyNumberFormat="1" applyFont="1" applyBorder="1" applyAlignment="1">
      <alignment horizontal="right" vertical="center"/>
    </xf>
    <xf numFmtId="0" fontId="6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right" vertical="center"/>
    </xf>
    <xf numFmtId="0" fontId="6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1" fontId="3" fillId="0" borderId="29" xfId="0" applyNumberFormat="1" applyFont="1" applyBorder="1" applyAlignment="1">
      <alignment horizontal="left" vertical="center"/>
    </xf>
    <xf numFmtId="0" fontId="3" fillId="0" borderId="30" xfId="0" applyFont="1" applyBorder="1" applyAlignment="1">
      <alignment horizontal="right" vertical="center"/>
    </xf>
    <xf numFmtId="0" fontId="5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1" fontId="5" fillId="3" borderId="11" xfId="0" applyNumberFormat="1" applyFont="1" applyFill="1" applyBorder="1" applyAlignment="1">
      <alignment horizontal="center" vertical="center" wrapText="1"/>
    </xf>
    <xf numFmtId="43" fontId="7" fillId="0" borderId="25" xfId="1" applyFont="1" applyFill="1" applyBorder="1" applyAlignment="1">
      <alignment horizontal="right" vertical="center" wrapText="1"/>
    </xf>
    <xf numFmtId="43" fontId="7" fillId="0" borderId="30" xfId="1" applyFont="1" applyFill="1" applyBorder="1" applyAlignment="1">
      <alignment horizontal="right" vertical="center" wrapText="1"/>
    </xf>
    <xf numFmtId="0" fontId="4" fillId="0" borderId="8" xfId="0" applyFont="1" applyBorder="1" applyAlignment="1">
      <alignment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1" fontId="4" fillId="4" borderId="14" xfId="0" applyNumberFormat="1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7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2" fontId="7" fillId="5" borderId="8" xfId="0" applyNumberFormat="1" applyFont="1" applyFill="1" applyBorder="1" applyAlignment="1">
      <alignment horizontal="center" vertical="center" wrapText="1"/>
    </xf>
    <xf numFmtId="2" fontId="7" fillId="5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0" fontId="10" fillId="0" borderId="8" xfId="0" applyFont="1" applyBorder="1"/>
    <xf numFmtId="0" fontId="11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/>
    </xf>
    <xf numFmtId="0" fontId="10" fillId="0" borderId="34" xfId="0" applyFont="1" applyBorder="1"/>
    <xf numFmtId="0" fontId="11" fillId="0" borderId="8" xfId="2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readingOrder="1"/>
    </xf>
    <xf numFmtId="0" fontId="11" fillId="0" borderId="8" xfId="0" applyFont="1" applyBorder="1"/>
    <xf numFmtId="2" fontId="7" fillId="2" borderId="8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/>
    </xf>
    <xf numFmtId="1" fontId="7" fillId="0" borderId="24" xfId="0" applyNumberFormat="1" applyFont="1" applyBorder="1" applyAlignment="1">
      <alignment horizontal="left" vertical="top"/>
    </xf>
    <xf numFmtId="0" fontId="7" fillId="0" borderId="26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1" fontId="7" fillId="0" borderId="27" xfId="0" applyNumberFormat="1" applyFont="1" applyBorder="1" applyAlignment="1">
      <alignment horizontal="left" vertical="top"/>
    </xf>
    <xf numFmtId="0" fontId="7" fillId="0" borderId="28" xfId="0" applyFont="1" applyBorder="1" applyAlignment="1">
      <alignment horizontal="left" vertical="top"/>
    </xf>
    <xf numFmtId="0" fontId="7" fillId="0" borderId="29" xfId="0" applyFont="1" applyBorder="1" applyAlignment="1">
      <alignment horizontal="left" vertical="top"/>
    </xf>
    <xf numFmtId="1" fontId="7" fillId="0" borderId="30" xfId="0" applyNumberFormat="1" applyFont="1" applyBorder="1" applyAlignment="1">
      <alignment horizontal="left"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0" borderId="27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0" borderId="22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1" fontId="3" fillId="0" borderId="24" xfId="0" applyNumberFormat="1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" fontId="3" fillId="0" borderId="27" xfId="0" applyNumberFormat="1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1" fontId="3" fillId="0" borderId="30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1" fontId="5" fillId="0" borderId="33" xfId="0" applyNumberFormat="1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" fontId="4" fillId="0" borderId="8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1" fontId="9" fillId="0" borderId="5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 wrapText="1"/>
    </xf>
  </cellXfs>
  <cellStyles count="4">
    <cellStyle name="Comma" xfId="1" builtinId="3"/>
    <cellStyle name="Comma 2" xfId="3" xr:uid="{BE4009C6-6224-4955-9838-76116F6D684B}"/>
    <cellStyle name="Normal" xfId="0" builtinId="0"/>
    <cellStyle name="Normal 2" xfId="2" xr:uid="{BF84CEB9-4B8E-4ABD-A2FD-C3B1F05F6292}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4B8C-3E6B-4339-8CAE-3F7DD1378C4D}">
  <sheetPr>
    <pageSetUpPr fitToPage="1"/>
  </sheetPr>
  <dimension ref="A1:G32"/>
  <sheetViews>
    <sheetView workbookViewId="0">
      <selection activeCell="A17" sqref="A17:D19"/>
    </sheetView>
  </sheetViews>
  <sheetFormatPr defaultRowHeight="14.25" x14ac:dyDescent="0.45"/>
  <cols>
    <col min="1" max="1" width="14.59765625" customWidth="1"/>
    <col min="2" max="2" width="37.265625" customWidth="1"/>
    <col min="3" max="3" width="15.1328125" customWidth="1"/>
    <col min="4" max="4" width="13" customWidth="1"/>
    <col min="5" max="5" width="15.73046875" customWidth="1"/>
    <col min="6" max="6" width="12.265625" customWidth="1"/>
    <col min="7" max="7" width="11.86328125" customWidth="1"/>
  </cols>
  <sheetData>
    <row r="1" spans="1:7" ht="63" customHeight="1" x14ac:dyDescent="0.45">
      <c r="A1" s="94" t="s">
        <v>0</v>
      </c>
      <c r="B1" s="95"/>
      <c r="C1" s="95"/>
      <c r="D1" s="96"/>
      <c r="E1" s="95"/>
      <c r="F1" s="95"/>
      <c r="G1" s="97"/>
    </row>
    <row r="2" spans="1:7" x14ac:dyDescent="0.45">
      <c r="A2" s="98" t="s">
        <v>1</v>
      </c>
      <c r="B2" s="99"/>
      <c r="C2" s="99"/>
      <c r="D2" s="100"/>
      <c r="E2" s="99"/>
      <c r="F2" s="99"/>
      <c r="G2" s="101"/>
    </row>
    <row r="3" spans="1:7" ht="15.75" x14ac:dyDescent="0.45">
      <c r="A3" s="102" t="s">
        <v>339</v>
      </c>
      <c r="B3" s="103"/>
      <c r="C3" s="33"/>
      <c r="D3" s="104" t="s">
        <v>340</v>
      </c>
      <c r="E3" s="103"/>
      <c r="F3" s="103"/>
      <c r="G3" s="105"/>
    </row>
    <row r="4" spans="1:7" ht="15.75" x14ac:dyDescent="0.45">
      <c r="A4" s="106" t="s">
        <v>342</v>
      </c>
      <c r="B4" s="107"/>
      <c r="C4" s="107"/>
      <c r="D4" s="108"/>
      <c r="E4" s="107"/>
      <c r="F4" s="107"/>
      <c r="G4" s="109"/>
    </row>
    <row r="5" spans="1:7" ht="15.75" x14ac:dyDescent="0.45">
      <c r="A5" s="90" t="s">
        <v>341</v>
      </c>
      <c r="B5" s="91"/>
      <c r="C5" s="91"/>
      <c r="D5" s="92"/>
      <c r="E5" s="91"/>
      <c r="F5" s="91"/>
      <c r="G5" s="93"/>
    </row>
    <row r="6" spans="1:7" ht="43.15" thickBot="1" x14ac:dyDescent="0.5">
      <c r="A6" s="27" t="s">
        <v>2</v>
      </c>
      <c r="B6" s="28" t="s">
        <v>3</v>
      </c>
      <c r="C6" s="29"/>
      <c r="D6" s="30" t="s">
        <v>4</v>
      </c>
      <c r="E6" s="71">
        <v>9799333000</v>
      </c>
      <c r="F6" s="71"/>
      <c r="G6" s="72"/>
    </row>
    <row r="7" spans="1:7" ht="16.149999999999999" thickBot="1" x14ac:dyDescent="0.5">
      <c r="A7" s="34" t="s">
        <v>5</v>
      </c>
      <c r="B7" s="35" t="s">
        <v>6</v>
      </c>
      <c r="C7" s="35" t="s">
        <v>7</v>
      </c>
      <c r="D7" s="36" t="s">
        <v>8</v>
      </c>
      <c r="E7" s="35" t="s">
        <v>9</v>
      </c>
      <c r="F7" s="35" t="s">
        <v>10</v>
      </c>
      <c r="G7" s="37" t="s">
        <v>11</v>
      </c>
    </row>
    <row r="8" spans="1:7" x14ac:dyDescent="0.45">
      <c r="A8" s="1">
        <v>1</v>
      </c>
      <c r="B8" s="2" t="s">
        <v>41</v>
      </c>
      <c r="C8" s="3"/>
      <c r="D8" s="2">
        <v>13</v>
      </c>
      <c r="E8" s="4">
        <v>190.64</v>
      </c>
      <c r="F8" s="5">
        <v>13</v>
      </c>
      <c r="G8" s="6">
        <f>E8*F8</f>
        <v>2478.3199999999997</v>
      </c>
    </row>
    <row r="9" spans="1:7" x14ac:dyDescent="0.45">
      <c r="A9" s="1">
        <v>2</v>
      </c>
      <c r="B9" s="2" t="s">
        <v>335</v>
      </c>
      <c r="C9" s="3"/>
      <c r="D9" s="2">
        <v>2</v>
      </c>
      <c r="E9" s="4">
        <v>37</v>
      </c>
      <c r="F9" s="5">
        <v>85</v>
      </c>
      <c r="G9" s="6">
        <f t="shared" ref="G9:G13" si="0">E9*F9</f>
        <v>3145</v>
      </c>
    </row>
    <row r="10" spans="1:7" x14ac:dyDescent="0.45">
      <c r="A10" s="1">
        <v>3</v>
      </c>
      <c r="B10" s="2" t="s">
        <v>292</v>
      </c>
      <c r="C10" s="3"/>
      <c r="D10" s="2">
        <v>11</v>
      </c>
      <c r="E10" s="4">
        <v>188.01</v>
      </c>
      <c r="F10" s="5">
        <v>8</v>
      </c>
      <c r="G10" s="6">
        <f t="shared" si="0"/>
        <v>1504.08</v>
      </c>
    </row>
    <row r="11" spans="1:7" x14ac:dyDescent="0.45">
      <c r="A11" s="1">
        <v>4</v>
      </c>
      <c r="B11" s="2" t="s">
        <v>290</v>
      </c>
      <c r="C11" s="3"/>
      <c r="D11" s="2">
        <v>45</v>
      </c>
      <c r="E11" s="4">
        <v>891.74</v>
      </c>
      <c r="F11" s="5">
        <v>7.5</v>
      </c>
      <c r="G11" s="6">
        <f t="shared" si="0"/>
        <v>6688.05</v>
      </c>
    </row>
    <row r="12" spans="1:7" x14ac:dyDescent="0.45">
      <c r="A12" s="1">
        <v>5</v>
      </c>
      <c r="B12" s="2" t="s">
        <v>293</v>
      </c>
      <c r="C12" s="3"/>
      <c r="D12" s="2">
        <v>110</v>
      </c>
      <c r="E12" s="4">
        <v>2835.82</v>
      </c>
      <c r="F12" s="5">
        <v>9</v>
      </c>
      <c r="G12" s="6">
        <f t="shared" si="0"/>
        <v>25522.38</v>
      </c>
    </row>
    <row r="13" spans="1:7" x14ac:dyDescent="0.45">
      <c r="A13" s="1">
        <v>6</v>
      </c>
      <c r="B13" s="2" t="s">
        <v>12</v>
      </c>
      <c r="C13" s="3"/>
      <c r="D13" s="2"/>
      <c r="E13" s="4">
        <v>1893</v>
      </c>
      <c r="F13" s="5">
        <v>1.5</v>
      </c>
      <c r="G13" s="6">
        <f t="shared" si="0"/>
        <v>2839.5</v>
      </c>
    </row>
    <row r="14" spans="1:7" x14ac:dyDescent="0.45">
      <c r="A14" s="1"/>
      <c r="B14" s="2"/>
      <c r="C14" s="3"/>
      <c r="D14" s="2"/>
      <c r="E14" s="4"/>
      <c r="F14" s="5"/>
      <c r="G14" s="6"/>
    </row>
    <row r="15" spans="1:7" x14ac:dyDescent="0.45">
      <c r="A15" s="1"/>
      <c r="B15" s="2"/>
      <c r="C15" s="3"/>
      <c r="D15" s="2"/>
      <c r="E15" s="4"/>
      <c r="F15" s="5"/>
      <c r="G15" s="6"/>
    </row>
    <row r="16" spans="1:7" ht="14.65" thickBot="1" x14ac:dyDescent="0.5">
      <c r="A16" s="7"/>
      <c r="B16" s="8"/>
      <c r="C16" s="8"/>
      <c r="D16" s="9"/>
      <c r="E16" s="8"/>
      <c r="F16" s="8"/>
      <c r="G16" s="10"/>
    </row>
    <row r="17" spans="1:7" ht="14.65" thickBot="1" x14ac:dyDescent="0.5">
      <c r="A17" s="73" t="s">
        <v>343</v>
      </c>
      <c r="B17" s="74"/>
      <c r="C17" s="74"/>
      <c r="D17" s="75"/>
      <c r="E17" s="82" t="s">
        <v>13</v>
      </c>
      <c r="F17" s="83"/>
      <c r="G17" s="31">
        <f>SUM(G8:G16)</f>
        <v>42177.33</v>
      </c>
    </row>
    <row r="18" spans="1:7" ht="14.65" thickBot="1" x14ac:dyDescent="0.5">
      <c r="A18" s="76"/>
      <c r="B18" s="77"/>
      <c r="C18" s="77"/>
      <c r="D18" s="78"/>
      <c r="E18" s="82" t="s">
        <v>14</v>
      </c>
      <c r="F18" s="83"/>
      <c r="G18" s="11">
        <f>G17*18%</f>
        <v>7591.9193999999998</v>
      </c>
    </row>
    <row r="19" spans="1:7" ht="14.65" thickBot="1" x14ac:dyDescent="0.5">
      <c r="A19" s="79"/>
      <c r="B19" s="80"/>
      <c r="C19" s="80"/>
      <c r="D19" s="81"/>
      <c r="E19" s="84" t="s">
        <v>15</v>
      </c>
      <c r="F19" s="85"/>
      <c r="G19" s="32">
        <f>SUM(G17:G18)</f>
        <v>49769.249400000001</v>
      </c>
    </row>
    <row r="20" spans="1:7" x14ac:dyDescent="0.45">
      <c r="A20" s="12"/>
      <c r="B20" s="13"/>
      <c r="C20" s="13"/>
      <c r="D20" s="14"/>
      <c r="E20" s="15"/>
      <c r="F20" s="15"/>
      <c r="G20" s="16"/>
    </row>
    <row r="21" spans="1:7" x14ac:dyDescent="0.45">
      <c r="A21" s="17" t="s">
        <v>24</v>
      </c>
      <c r="B21" s="18"/>
      <c r="C21" s="18"/>
      <c r="D21" s="19"/>
      <c r="E21" s="18"/>
      <c r="F21" s="18"/>
      <c r="G21" s="20"/>
    </row>
    <row r="22" spans="1:7" x14ac:dyDescent="0.45">
      <c r="A22" s="17" t="s">
        <v>16</v>
      </c>
      <c r="B22" s="18"/>
      <c r="C22" s="18"/>
      <c r="D22" s="19"/>
      <c r="E22" s="18"/>
      <c r="F22" s="18"/>
      <c r="G22" s="20"/>
    </row>
    <row r="23" spans="1:7" x14ac:dyDescent="0.45">
      <c r="A23" s="21" t="s">
        <v>17</v>
      </c>
      <c r="B23" s="18"/>
      <c r="C23" s="18"/>
      <c r="D23" s="19"/>
      <c r="E23" s="18"/>
      <c r="F23" s="18"/>
      <c r="G23" s="22"/>
    </row>
    <row r="24" spans="1:7" x14ac:dyDescent="0.45">
      <c r="A24" s="21" t="s">
        <v>18</v>
      </c>
      <c r="B24" s="18"/>
      <c r="C24" s="18"/>
      <c r="D24" s="19"/>
      <c r="E24" s="18"/>
      <c r="F24" s="18"/>
      <c r="G24" s="22"/>
    </row>
    <row r="25" spans="1:7" x14ac:dyDescent="0.45">
      <c r="A25" s="21" t="s">
        <v>19</v>
      </c>
      <c r="B25" s="18"/>
      <c r="C25" s="18"/>
      <c r="D25" s="19"/>
      <c r="E25" s="18"/>
      <c r="F25" s="18"/>
      <c r="G25" s="22"/>
    </row>
    <row r="26" spans="1:7" x14ac:dyDescent="0.45">
      <c r="A26" s="21" t="s">
        <v>20</v>
      </c>
      <c r="B26" s="18"/>
      <c r="C26" s="18"/>
      <c r="D26" s="19"/>
      <c r="E26" s="18"/>
      <c r="F26" s="18"/>
      <c r="G26" s="22"/>
    </row>
    <row r="27" spans="1:7" ht="14.65" thickBot="1" x14ac:dyDescent="0.5">
      <c r="A27" s="23" t="s">
        <v>21</v>
      </c>
      <c r="B27" s="24"/>
      <c r="C27" s="24"/>
      <c r="D27" s="25"/>
      <c r="E27" s="24"/>
      <c r="F27" s="24"/>
      <c r="G27" s="26"/>
    </row>
    <row r="28" spans="1:7" ht="14.65" thickBot="1" x14ac:dyDescent="0.5">
      <c r="A28" s="86"/>
      <c r="B28" s="87"/>
      <c r="C28" s="87"/>
      <c r="D28" s="88"/>
      <c r="E28" s="87"/>
      <c r="F28" s="87"/>
      <c r="G28" s="89"/>
    </row>
    <row r="29" spans="1:7" x14ac:dyDescent="0.45">
      <c r="A29" s="57" t="s">
        <v>22</v>
      </c>
      <c r="B29" s="58"/>
      <c r="C29" s="58"/>
      <c r="D29" s="59"/>
      <c r="E29" s="66" t="s">
        <v>23</v>
      </c>
      <c r="F29" s="67"/>
      <c r="G29" s="68"/>
    </row>
    <row r="30" spans="1:7" x14ac:dyDescent="0.45">
      <c r="A30" s="60"/>
      <c r="B30" s="61"/>
      <c r="C30" s="61"/>
      <c r="D30" s="62"/>
      <c r="E30" s="67"/>
      <c r="F30" s="67"/>
      <c r="G30" s="68"/>
    </row>
    <row r="31" spans="1:7" x14ac:dyDescent="0.45">
      <c r="A31" s="60"/>
      <c r="B31" s="61"/>
      <c r="C31" s="61"/>
      <c r="D31" s="62"/>
      <c r="E31" s="67"/>
      <c r="F31" s="67"/>
      <c r="G31" s="68"/>
    </row>
    <row r="32" spans="1:7" ht="14.65" thickBot="1" x14ac:dyDescent="0.5">
      <c r="A32" s="63"/>
      <c r="B32" s="64"/>
      <c r="C32" s="64"/>
      <c r="D32" s="65"/>
      <c r="E32" s="69"/>
      <c r="F32" s="69"/>
      <c r="G32" s="70"/>
    </row>
  </sheetData>
  <mergeCells count="14">
    <mergeCell ref="A5:G5"/>
    <mergeCell ref="A1:G1"/>
    <mergeCell ref="A2:G2"/>
    <mergeCell ref="A3:B3"/>
    <mergeCell ref="D3:G3"/>
    <mergeCell ref="A4:G4"/>
    <mergeCell ref="A29:D32"/>
    <mergeCell ref="E29:G32"/>
    <mergeCell ref="E6:G6"/>
    <mergeCell ref="A17:D19"/>
    <mergeCell ref="E17:F17"/>
    <mergeCell ref="E18:F18"/>
    <mergeCell ref="E19:F19"/>
    <mergeCell ref="A28:G28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3E01-C829-4470-BD61-7C5A7CB65EC4}">
  <dimension ref="A1:Q186"/>
  <sheetViews>
    <sheetView tabSelected="1" workbookViewId="0"/>
  </sheetViews>
  <sheetFormatPr defaultRowHeight="14.25" x14ac:dyDescent="0.45"/>
  <cols>
    <col min="1" max="1" width="4.33203125" bestFit="1" customWidth="1"/>
    <col min="2" max="2" width="9.73046875" bestFit="1" customWidth="1"/>
    <col min="3" max="3" width="39.86328125" customWidth="1"/>
    <col min="4" max="4" width="11.73046875" bestFit="1" customWidth="1"/>
    <col min="5" max="5" width="43.73046875" bestFit="1" customWidth="1"/>
    <col min="6" max="6" width="10.73046875" bestFit="1" customWidth="1"/>
    <col min="7" max="7" width="36" bestFit="1" customWidth="1"/>
    <col min="8" max="8" width="5.796875" bestFit="1" customWidth="1"/>
    <col min="9" max="9" width="6.06640625" bestFit="1" customWidth="1"/>
    <col min="10" max="10" width="5.796875" bestFit="1" customWidth="1"/>
    <col min="11" max="11" width="6.06640625" bestFit="1" customWidth="1"/>
    <col min="12" max="12" width="4" bestFit="1" customWidth="1"/>
    <col min="13" max="13" width="7.1328125" customWidth="1"/>
    <col min="14" max="14" width="4.46484375" bestFit="1" customWidth="1"/>
    <col min="15" max="15" width="9.33203125" bestFit="1" customWidth="1"/>
    <col min="16" max="16" width="8.33203125" bestFit="1" customWidth="1"/>
    <col min="17" max="17" width="9.33203125" bestFit="1" customWidth="1"/>
  </cols>
  <sheetData>
    <row r="1" spans="1:17" ht="28.5" x14ac:dyDescent="0.45">
      <c r="A1" s="39" t="s">
        <v>25</v>
      </c>
      <c r="B1" s="39" t="s">
        <v>26</v>
      </c>
      <c r="C1" s="39" t="s">
        <v>27</v>
      </c>
      <c r="D1" s="39" t="s">
        <v>28</v>
      </c>
      <c r="E1" s="40" t="s">
        <v>29</v>
      </c>
      <c r="F1" s="40" t="s">
        <v>30</v>
      </c>
      <c r="G1" s="39" t="s">
        <v>31</v>
      </c>
      <c r="H1" s="41" t="s">
        <v>32</v>
      </c>
      <c r="I1" s="41" t="s">
        <v>33</v>
      </c>
      <c r="J1" s="41" t="s">
        <v>34</v>
      </c>
      <c r="K1" s="41" t="s">
        <v>35</v>
      </c>
      <c r="L1" s="40" t="s">
        <v>36</v>
      </c>
      <c r="M1" s="42" t="s">
        <v>37</v>
      </c>
      <c r="N1" s="39" t="s">
        <v>38</v>
      </c>
      <c r="O1" s="42" t="s">
        <v>11</v>
      </c>
      <c r="P1" s="42" t="s">
        <v>39</v>
      </c>
      <c r="Q1" s="42" t="s">
        <v>40</v>
      </c>
    </row>
    <row r="2" spans="1:17" s="43" customFormat="1" ht="13.15" x14ac:dyDescent="0.4">
      <c r="A2" s="47">
        <v>1</v>
      </c>
      <c r="B2" s="48" t="s">
        <v>43</v>
      </c>
      <c r="C2" s="49" t="s">
        <v>95</v>
      </c>
      <c r="D2" s="46" t="s">
        <v>148</v>
      </c>
      <c r="E2" s="52" t="s">
        <v>182</v>
      </c>
      <c r="F2" s="51" t="s">
        <v>238</v>
      </c>
      <c r="G2" s="46" t="s">
        <v>290</v>
      </c>
      <c r="H2" s="46">
        <v>18</v>
      </c>
      <c r="I2" s="46">
        <v>54</v>
      </c>
      <c r="J2" s="50">
        <f>H2/12</f>
        <v>1.5</v>
      </c>
      <c r="K2" s="50">
        <f>I2/12</f>
        <v>4.5</v>
      </c>
      <c r="L2" s="49">
        <v>1</v>
      </c>
      <c r="M2" s="50">
        <f>L2*K2*J2</f>
        <v>6.75</v>
      </c>
      <c r="N2" s="49">
        <v>0</v>
      </c>
      <c r="O2" s="45">
        <f>N2*M2</f>
        <v>0</v>
      </c>
      <c r="P2" s="45">
        <f>O2*18%</f>
        <v>0</v>
      </c>
      <c r="Q2" s="45">
        <f>P2+O2</f>
        <v>0</v>
      </c>
    </row>
    <row r="3" spans="1:17" s="38" customFormat="1" ht="13.15" x14ac:dyDescent="0.4">
      <c r="A3" s="51">
        <v>2</v>
      </c>
      <c r="B3" s="48" t="s">
        <v>43</v>
      </c>
      <c r="C3" s="49" t="s">
        <v>95</v>
      </c>
      <c r="D3" s="46" t="s">
        <v>148</v>
      </c>
      <c r="E3" s="52" t="s">
        <v>182</v>
      </c>
      <c r="F3" s="51" t="s">
        <v>238</v>
      </c>
      <c r="G3" s="46" t="s">
        <v>292</v>
      </c>
      <c r="H3" s="46">
        <v>39</v>
      </c>
      <c r="I3" s="46">
        <v>39</v>
      </c>
      <c r="J3" s="50">
        <f t="shared" ref="J3:J66" si="0">H3/12</f>
        <v>3.25</v>
      </c>
      <c r="K3" s="50">
        <f t="shared" ref="K3:K66" si="1">I3/12</f>
        <v>3.25</v>
      </c>
      <c r="L3" s="49">
        <v>1</v>
      </c>
      <c r="M3" s="50">
        <f t="shared" ref="M3:M66" si="2">L3*K3*J3</f>
        <v>10.5625</v>
      </c>
      <c r="N3" s="49">
        <v>0</v>
      </c>
      <c r="O3" s="45">
        <f t="shared" ref="O3:O66" si="3">N3*M3</f>
        <v>0</v>
      </c>
      <c r="P3" s="45">
        <f t="shared" ref="P3:P66" si="4">O3*18%</f>
        <v>0</v>
      </c>
      <c r="Q3" s="45">
        <f t="shared" ref="Q3:Q66" si="5">P3+O3</f>
        <v>0</v>
      </c>
    </row>
    <row r="4" spans="1:17" s="38" customFormat="1" ht="13.15" x14ac:dyDescent="0.4">
      <c r="A4" s="47">
        <v>3</v>
      </c>
      <c r="B4" s="48" t="s">
        <v>44</v>
      </c>
      <c r="C4" s="49" t="s">
        <v>96</v>
      </c>
      <c r="D4" s="46" t="s">
        <v>149</v>
      </c>
      <c r="E4" s="52" t="s">
        <v>183</v>
      </c>
      <c r="F4" s="46" t="s">
        <v>239</v>
      </c>
      <c r="G4" s="46" t="s">
        <v>290</v>
      </c>
      <c r="H4" s="46">
        <v>55</v>
      </c>
      <c r="I4" s="46">
        <v>35</v>
      </c>
      <c r="J4" s="50">
        <f t="shared" si="0"/>
        <v>4.583333333333333</v>
      </c>
      <c r="K4" s="50">
        <f t="shared" si="1"/>
        <v>2.9166666666666665</v>
      </c>
      <c r="L4" s="49">
        <v>1</v>
      </c>
      <c r="M4" s="50">
        <f t="shared" si="2"/>
        <v>13.368055555555554</v>
      </c>
      <c r="N4" s="49">
        <v>0</v>
      </c>
      <c r="O4" s="45">
        <f t="shared" si="3"/>
        <v>0</v>
      </c>
      <c r="P4" s="45">
        <f t="shared" si="4"/>
        <v>0</v>
      </c>
      <c r="Q4" s="45">
        <f t="shared" si="5"/>
        <v>0</v>
      </c>
    </row>
    <row r="5" spans="1:17" s="38" customFormat="1" ht="13.15" x14ac:dyDescent="0.4">
      <c r="A5" s="47">
        <v>4</v>
      </c>
      <c r="B5" s="48" t="s">
        <v>44</v>
      </c>
      <c r="C5" s="49" t="s">
        <v>96</v>
      </c>
      <c r="D5" s="46" t="s">
        <v>149</v>
      </c>
      <c r="E5" s="52" t="s">
        <v>183</v>
      </c>
      <c r="F5" s="46" t="s">
        <v>239</v>
      </c>
      <c r="G5" s="46" t="s">
        <v>42</v>
      </c>
      <c r="H5" s="46">
        <v>70</v>
      </c>
      <c r="I5" s="46">
        <v>70</v>
      </c>
      <c r="J5" s="50">
        <f t="shared" si="0"/>
        <v>5.833333333333333</v>
      </c>
      <c r="K5" s="50">
        <f t="shared" si="1"/>
        <v>5.833333333333333</v>
      </c>
      <c r="L5" s="49">
        <v>1</v>
      </c>
      <c r="M5" s="50">
        <f t="shared" si="2"/>
        <v>34.027777777777771</v>
      </c>
      <c r="N5" s="49">
        <v>0</v>
      </c>
      <c r="O5" s="45">
        <f t="shared" si="3"/>
        <v>0</v>
      </c>
      <c r="P5" s="45">
        <f t="shared" si="4"/>
        <v>0</v>
      </c>
      <c r="Q5" s="45">
        <f t="shared" si="5"/>
        <v>0</v>
      </c>
    </row>
    <row r="6" spans="1:17" s="38" customFormat="1" ht="13.15" x14ac:dyDescent="0.4">
      <c r="A6" s="51">
        <v>5</v>
      </c>
      <c r="B6" s="48" t="s">
        <v>44</v>
      </c>
      <c r="C6" s="49" t="s">
        <v>96</v>
      </c>
      <c r="D6" s="46" t="s">
        <v>149</v>
      </c>
      <c r="E6" s="52" t="s">
        <v>183</v>
      </c>
      <c r="F6" s="46" t="s">
        <v>239</v>
      </c>
      <c r="G6" s="46" t="s">
        <v>42</v>
      </c>
      <c r="H6" s="46">
        <v>220</v>
      </c>
      <c r="I6" s="46">
        <v>21</v>
      </c>
      <c r="J6" s="50">
        <f t="shared" si="0"/>
        <v>18.333333333333332</v>
      </c>
      <c r="K6" s="50">
        <f t="shared" si="1"/>
        <v>1.75</v>
      </c>
      <c r="L6" s="49">
        <v>1</v>
      </c>
      <c r="M6" s="50">
        <f t="shared" si="2"/>
        <v>32.083333333333329</v>
      </c>
      <c r="N6" s="49">
        <v>0</v>
      </c>
      <c r="O6" s="45">
        <f t="shared" si="3"/>
        <v>0</v>
      </c>
      <c r="P6" s="45">
        <f t="shared" si="4"/>
        <v>0</v>
      </c>
      <c r="Q6" s="45">
        <f t="shared" si="5"/>
        <v>0</v>
      </c>
    </row>
    <row r="7" spans="1:17" x14ac:dyDescent="0.45">
      <c r="A7" s="47">
        <v>6</v>
      </c>
      <c r="B7" s="48" t="s">
        <v>45</v>
      </c>
      <c r="C7" s="53" t="s">
        <v>97</v>
      </c>
      <c r="D7" s="46" t="s">
        <v>150</v>
      </c>
      <c r="E7" s="52" t="s">
        <v>184</v>
      </c>
      <c r="F7" s="46" t="s">
        <v>240</v>
      </c>
      <c r="G7" s="46" t="s">
        <v>42</v>
      </c>
      <c r="H7" s="46">
        <v>16</v>
      </c>
      <c r="I7" s="46">
        <v>115</v>
      </c>
      <c r="J7" s="50">
        <f t="shared" si="0"/>
        <v>1.3333333333333333</v>
      </c>
      <c r="K7" s="50">
        <f t="shared" si="1"/>
        <v>9.5833333333333339</v>
      </c>
      <c r="L7" s="49">
        <v>1</v>
      </c>
      <c r="M7" s="50">
        <f t="shared" si="2"/>
        <v>12.777777777777779</v>
      </c>
      <c r="N7" s="49">
        <v>0</v>
      </c>
      <c r="O7" s="45">
        <f t="shared" si="3"/>
        <v>0</v>
      </c>
      <c r="P7" s="45">
        <f t="shared" si="4"/>
        <v>0</v>
      </c>
      <c r="Q7" s="45">
        <f t="shared" si="5"/>
        <v>0</v>
      </c>
    </row>
    <row r="8" spans="1:17" x14ac:dyDescent="0.45">
      <c r="A8" s="47">
        <v>7</v>
      </c>
      <c r="B8" s="48" t="s">
        <v>45</v>
      </c>
      <c r="C8" s="53" t="s">
        <v>97</v>
      </c>
      <c r="D8" s="46" t="s">
        <v>150</v>
      </c>
      <c r="E8" s="52" t="s">
        <v>184</v>
      </c>
      <c r="F8" s="46" t="s">
        <v>240</v>
      </c>
      <c r="G8" s="46" t="s">
        <v>42</v>
      </c>
      <c r="H8" s="46">
        <v>16</v>
      </c>
      <c r="I8" s="46">
        <v>115</v>
      </c>
      <c r="J8" s="50">
        <f t="shared" si="0"/>
        <v>1.3333333333333333</v>
      </c>
      <c r="K8" s="50">
        <f t="shared" si="1"/>
        <v>9.5833333333333339</v>
      </c>
      <c r="L8" s="49">
        <v>1</v>
      </c>
      <c r="M8" s="50">
        <f t="shared" si="2"/>
        <v>12.777777777777779</v>
      </c>
      <c r="N8" s="49">
        <v>0</v>
      </c>
      <c r="O8" s="45">
        <f t="shared" si="3"/>
        <v>0</v>
      </c>
      <c r="P8" s="45">
        <f t="shared" si="4"/>
        <v>0</v>
      </c>
      <c r="Q8" s="45">
        <f t="shared" si="5"/>
        <v>0</v>
      </c>
    </row>
    <row r="9" spans="1:17" x14ac:dyDescent="0.45">
      <c r="A9" s="51">
        <v>8</v>
      </c>
      <c r="B9" s="48" t="s">
        <v>45</v>
      </c>
      <c r="C9" s="53" t="s">
        <v>97</v>
      </c>
      <c r="D9" s="46" t="s">
        <v>150</v>
      </c>
      <c r="E9" s="52" t="s">
        <v>184</v>
      </c>
      <c r="F9" s="46" t="s">
        <v>240</v>
      </c>
      <c r="G9" s="46" t="s">
        <v>334</v>
      </c>
      <c r="H9" s="46">
        <v>48</v>
      </c>
      <c r="I9" s="46">
        <v>40</v>
      </c>
      <c r="J9" s="50">
        <f t="shared" si="0"/>
        <v>4</v>
      </c>
      <c r="K9" s="50">
        <f t="shared" si="1"/>
        <v>3.3333333333333335</v>
      </c>
      <c r="L9" s="49">
        <v>1</v>
      </c>
      <c r="M9" s="50">
        <f t="shared" si="2"/>
        <v>13.333333333333334</v>
      </c>
      <c r="N9" s="49">
        <v>0</v>
      </c>
      <c r="O9" s="45">
        <f t="shared" si="3"/>
        <v>0</v>
      </c>
      <c r="P9" s="45">
        <f t="shared" si="4"/>
        <v>0</v>
      </c>
      <c r="Q9" s="45">
        <f t="shared" si="5"/>
        <v>0</v>
      </c>
    </row>
    <row r="10" spans="1:17" x14ac:dyDescent="0.45">
      <c r="A10" s="47">
        <v>9</v>
      </c>
      <c r="B10" s="48" t="s">
        <v>45</v>
      </c>
      <c r="C10" s="53" t="s">
        <v>97</v>
      </c>
      <c r="D10" s="46" t="s">
        <v>150</v>
      </c>
      <c r="E10" s="52" t="s">
        <v>184</v>
      </c>
      <c r="F10" s="46" t="s">
        <v>240</v>
      </c>
      <c r="G10" s="46" t="s">
        <v>42</v>
      </c>
      <c r="H10" s="46">
        <v>92</v>
      </c>
      <c r="I10" s="46">
        <v>19</v>
      </c>
      <c r="J10" s="50">
        <f t="shared" si="0"/>
        <v>7.666666666666667</v>
      </c>
      <c r="K10" s="50">
        <f t="shared" si="1"/>
        <v>1.5833333333333333</v>
      </c>
      <c r="L10" s="49">
        <v>1</v>
      </c>
      <c r="M10" s="50">
        <f t="shared" si="2"/>
        <v>12.138888888888889</v>
      </c>
      <c r="N10" s="49">
        <v>0</v>
      </c>
      <c r="O10" s="45">
        <f t="shared" si="3"/>
        <v>0</v>
      </c>
      <c r="P10" s="45">
        <f t="shared" si="4"/>
        <v>0</v>
      </c>
      <c r="Q10" s="45">
        <f t="shared" si="5"/>
        <v>0</v>
      </c>
    </row>
    <row r="11" spans="1:17" x14ac:dyDescent="0.45">
      <c r="A11" s="47">
        <v>10</v>
      </c>
      <c r="B11" s="48" t="s">
        <v>45</v>
      </c>
      <c r="C11" s="53" t="s">
        <v>97</v>
      </c>
      <c r="D11" s="46" t="s">
        <v>150</v>
      </c>
      <c r="E11" s="52" t="s">
        <v>184</v>
      </c>
      <c r="F11" s="46" t="s">
        <v>240</v>
      </c>
      <c r="G11" s="46" t="s">
        <v>42</v>
      </c>
      <c r="H11" s="46">
        <v>139</v>
      </c>
      <c r="I11" s="46">
        <v>35</v>
      </c>
      <c r="J11" s="50">
        <f t="shared" si="0"/>
        <v>11.583333333333334</v>
      </c>
      <c r="K11" s="50">
        <f t="shared" si="1"/>
        <v>2.9166666666666665</v>
      </c>
      <c r="L11" s="49">
        <v>1</v>
      </c>
      <c r="M11" s="50">
        <f t="shared" si="2"/>
        <v>33.784722222222221</v>
      </c>
      <c r="N11" s="49">
        <v>0</v>
      </c>
      <c r="O11" s="45">
        <f t="shared" si="3"/>
        <v>0</v>
      </c>
      <c r="P11" s="45">
        <f t="shared" si="4"/>
        <v>0</v>
      </c>
      <c r="Q11" s="45">
        <f t="shared" si="5"/>
        <v>0</v>
      </c>
    </row>
    <row r="12" spans="1:17" x14ac:dyDescent="0.45">
      <c r="A12" s="51">
        <v>11</v>
      </c>
      <c r="B12" s="48" t="s">
        <v>45</v>
      </c>
      <c r="C12" s="53" t="s">
        <v>97</v>
      </c>
      <c r="D12" s="46" t="s">
        <v>150</v>
      </c>
      <c r="E12" s="52" t="s">
        <v>184</v>
      </c>
      <c r="F12" s="46" t="s">
        <v>240</v>
      </c>
      <c r="G12" s="46" t="s">
        <v>42</v>
      </c>
      <c r="H12" s="46">
        <v>153</v>
      </c>
      <c r="I12" s="46">
        <v>20</v>
      </c>
      <c r="J12" s="50">
        <f t="shared" si="0"/>
        <v>12.75</v>
      </c>
      <c r="K12" s="50">
        <f t="shared" si="1"/>
        <v>1.6666666666666667</v>
      </c>
      <c r="L12" s="49">
        <v>1</v>
      </c>
      <c r="M12" s="50">
        <f t="shared" si="2"/>
        <v>21.25</v>
      </c>
      <c r="N12" s="49">
        <v>0</v>
      </c>
      <c r="O12" s="45">
        <f t="shared" si="3"/>
        <v>0</v>
      </c>
      <c r="P12" s="45">
        <f t="shared" si="4"/>
        <v>0</v>
      </c>
      <c r="Q12" s="45">
        <f t="shared" si="5"/>
        <v>0</v>
      </c>
    </row>
    <row r="13" spans="1:17" x14ac:dyDescent="0.45">
      <c r="A13" s="47">
        <v>12</v>
      </c>
      <c r="B13" s="48" t="s">
        <v>46</v>
      </c>
      <c r="C13" s="53" t="s">
        <v>98</v>
      </c>
      <c r="D13" s="46" t="s">
        <v>148</v>
      </c>
      <c r="E13" s="52" t="s">
        <v>185</v>
      </c>
      <c r="F13" s="51" t="s">
        <v>241</v>
      </c>
      <c r="G13" s="46" t="s">
        <v>42</v>
      </c>
      <c r="H13" s="46">
        <v>27</v>
      </c>
      <c r="I13" s="46">
        <v>78</v>
      </c>
      <c r="J13" s="50">
        <f t="shared" si="0"/>
        <v>2.25</v>
      </c>
      <c r="K13" s="50">
        <f t="shared" si="1"/>
        <v>6.5</v>
      </c>
      <c r="L13" s="49">
        <v>1</v>
      </c>
      <c r="M13" s="50">
        <f t="shared" si="2"/>
        <v>14.625</v>
      </c>
      <c r="N13" s="49">
        <v>0</v>
      </c>
      <c r="O13" s="45">
        <f t="shared" si="3"/>
        <v>0</v>
      </c>
      <c r="P13" s="45">
        <f t="shared" si="4"/>
        <v>0</v>
      </c>
      <c r="Q13" s="45">
        <f t="shared" si="5"/>
        <v>0</v>
      </c>
    </row>
    <row r="14" spans="1:17" x14ac:dyDescent="0.45">
      <c r="A14" s="47">
        <v>13</v>
      </c>
      <c r="B14" s="48" t="s">
        <v>46</v>
      </c>
      <c r="C14" s="53" t="s">
        <v>98</v>
      </c>
      <c r="D14" s="46" t="s">
        <v>148</v>
      </c>
      <c r="E14" s="52" t="s">
        <v>185</v>
      </c>
      <c r="F14" s="51" t="s">
        <v>241</v>
      </c>
      <c r="G14" s="46" t="s">
        <v>292</v>
      </c>
      <c r="H14" s="46">
        <v>39</v>
      </c>
      <c r="I14" s="46">
        <v>48</v>
      </c>
      <c r="J14" s="50">
        <f t="shared" si="0"/>
        <v>3.25</v>
      </c>
      <c r="K14" s="50">
        <f t="shared" si="1"/>
        <v>4</v>
      </c>
      <c r="L14" s="49">
        <v>1</v>
      </c>
      <c r="M14" s="50">
        <f t="shared" si="2"/>
        <v>13</v>
      </c>
      <c r="N14" s="49">
        <v>0</v>
      </c>
      <c r="O14" s="45">
        <f t="shared" si="3"/>
        <v>0</v>
      </c>
      <c r="P14" s="45">
        <f t="shared" si="4"/>
        <v>0</v>
      </c>
      <c r="Q14" s="45">
        <f t="shared" si="5"/>
        <v>0</v>
      </c>
    </row>
    <row r="15" spans="1:17" x14ac:dyDescent="0.45">
      <c r="A15" s="51">
        <v>14</v>
      </c>
      <c r="B15" s="48" t="s">
        <v>46</v>
      </c>
      <c r="C15" s="53" t="s">
        <v>98</v>
      </c>
      <c r="D15" s="46" t="s">
        <v>148</v>
      </c>
      <c r="E15" s="52" t="s">
        <v>185</v>
      </c>
      <c r="F15" s="51" t="s">
        <v>241</v>
      </c>
      <c r="G15" s="46" t="s">
        <v>42</v>
      </c>
      <c r="H15" s="46">
        <v>82</v>
      </c>
      <c r="I15" s="46">
        <v>33</v>
      </c>
      <c r="J15" s="50">
        <f t="shared" si="0"/>
        <v>6.833333333333333</v>
      </c>
      <c r="K15" s="50">
        <f t="shared" si="1"/>
        <v>2.75</v>
      </c>
      <c r="L15" s="49">
        <v>1</v>
      </c>
      <c r="M15" s="50">
        <f t="shared" si="2"/>
        <v>18.791666666666664</v>
      </c>
      <c r="N15" s="49">
        <v>0</v>
      </c>
      <c r="O15" s="45">
        <f t="shared" si="3"/>
        <v>0</v>
      </c>
      <c r="P15" s="45">
        <f t="shared" si="4"/>
        <v>0</v>
      </c>
      <c r="Q15" s="45">
        <f t="shared" si="5"/>
        <v>0</v>
      </c>
    </row>
    <row r="16" spans="1:17" x14ac:dyDescent="0.45">
      <c r="A16" s="47">
        <v>15</v>
      </c>
      <c r="B16" s="48" t="s">
        <v>47</v>
      </c>
      <c r="C16" s="53" t="s">
        <v>99</v>
      </c>
      <c r="D16" s="46" t="s">
        <v>148</v>
      </c>
      <c r="E16" s="52" t="s">
        <v>186</v>
      </c>
      <c r="F16" s="46" t="s">
        <v>242</v>
      </c>
      <c r="G16" s="46" t="s">
        <v>290</v>
      </c>
      <c r="H16" s="46">
        <v>25</v>
      </c>
      <c r="I16" s="46">
        <v>69</v>
      </c>
      <c r="J16" s="50">
        <f t="shared" si="0"/>
        <v>2.0833333333333335</v>
      </c>
      <c r="K16" s="50">
        <f t="shared" si="1"/>
        <v>5.75</v>
      </c>
      <c r="L16" s="49">
        <v>1</v>
      </c>
      <c r="M16" s="50">
        <f t="shared" si="2"/>
        <v>11.979166666666668</v>
      </c>
      <c r="N16" s="49">
        <v>0</v>
      </c>
      <c r="O16" s="45">
        <f t="shared" si="3"/>
        <v>0</v>
      </c>
      <c r="P16" s="45">
        <f t="shared" si="4"/>
        <v>0</v>
      </c>
      <c r="Q16" s="45">
        <f t="shared" si="5"/>
        <v>0</v>
      </c>
    </row>
    <row r="17" spans="1:17" x14ac:dyDescent="0.45">
      <c r="A17" s="47">
        <v>16</v>
      </c>
      <c r="B17" s="48" t="s">
        <v>47</v>
      </c>
      <c r="C17" s="53" t="s">
        <v>99</v>
      </c>
      <c r="D17" s="46" t="s">
        <v>148</v>
      </c>
      <c r="E17" s="52" t="s">
        <v>186</v>
      </c>
      <c r="F17" s="46" t="s">
        <v>242</v>
      </c>
      <c r="G17" s="46" t="s">
        <v>290</v>
      </c>
      <c r="H17" s="46">
        <v>25</v>
      </c>
      <c r="I17" s="46">
        <v>69</v>
      </c>
      <c r="J17" s="50">
        <f t="shared" si="0"/>
        <v>2.0833333333333335</v>
      </c>
      <c r="K17" s="50">
        <f t="shared" si="1"/>
        <v>5.75</v>
      </c>
      <c r="L17" s="49">
        <v>1</v>
      </c>
      <c r="M17" s="50">
        <f t="shared" si="2"/>
        <v>11.979166666666668</v>
      </c>
      <c r="N17" s="49">
        <v>0</v>
      </c>
      <c r="O17" s="45">
        <f t="shared" si="3"/>
        <v>0</v>
      </c>
      <c r="P17" s="45">
        <f t="shared" si="4"/>
        <v>0</v>
      </c>
      <c r="Q17" s="45">
        <f t="shared" si="5"/>
        <v>0</v>
      </c>
    </row>
    <row r="18" spans="1:17" x14ac:dyDescent="0.45">
      <c r="A18" s="51">
        <v>17</v>
      </c>
      <c r="B18" s="48" t="s">
        <v>47</v>
      </c>
      <c r="C18" s="53" t="s">
        <v>99</v>
      </c>
      <c r="D18" s="46" t="s">
        <v>148</v>
      </c>
      <c r="E18" s="52" t="s">
        <v>186</v>
      </c>
      <c r="F18" s="46" t="s">
        <v>242</v>
      </c>
      <c r="G18" s="46" t="s">
        <v>290</v>
      </c>
      <c r="H18" s="46">
        <v>33</v>
      </c>
      <c r="I18" s="46">
        <v>54</v>
      </c>
      <c r="J18" s="50">
        <f t="shared" si="0"/>
        <v>2.75</v>
      </c>
      <c r="K18" s="50">
        <f t="shared" si="1"/>
        <v>4.5</v>
      </c>
      <c r="L18" s="49">
        <v>1</v>
      </c>
      <c r="M18" s="50">
        <f t="shared" si="2"/>
        <v>12.375</v>
      </c>
      <c r="N18" s="49">
        <v>0</v>
      </c>
      <c r="O18" s="45">
        <f t="shared" si="3"/>
        <v>0</v>
      </c>
      <c r="P18" s="45">
        <f t="shared" si="4"/>
        <v>0</v>
      </c>
      <c r="Q18" s="45">
        <f t="shared" si="5"/>
        <v>0</v>
      </c>
    </row>
    <row r="19" spans="1:17" x14ac:dyDescent="0.45">
      <c r="A19" s="47">
        <v>18</v>
      </c>
      <c r="B19" s="48" t="s">
        <v>47</v>
      </c>
      <c r="C19" s="53" t="s">
        <v>99</v>
      </c>
      <c r="D19" s="46" t="s">
        <v>148</v>
      </c>
      <c r="E19" s="52" t="s">
        <v>186</v>
      </c>
      <c r="F19" s="46" t="s">
        <v>242</v>
      </c>
      <c r="G19" s="46" t="s">
        <v>290</v>
      </c>
      <c r="H19" s="46">
        <v>35</v>
      </c>
      <c r="I19" s="46">
        <v>48</v>
      </c>
      <c r="J19" s="50">
        <f t="shared" si="0"/>
        <v>2.9166666666666665</v>
      </c>
      <c r="K19" s="50">
        <f t="shared" si="1"/>
        <v>4</v>
      </c>
      <c r="L19" s="49">
        <v>1</v>
      </c>
      <c r="M19" s="50">
        <f t="shared" si="2"/>
        <v>11.666666666666666</v>
      </c>
      <c r="N19" s="49">
        <v>0</v>
      </c>
      <c r="O19" s="45">
        <f t="shared" si="3"/>
        <v>0</v>
      </c>
      <c r="P19" s="45">
        <f t="shared" si="4"/>
        <v>0</v>
      </c>
      <c r="Q19" s="45">
        <f t="shared" si="5"/>
        <v>0</v>
      </c>
    </row>
    <row r="20" spans="1:17" x14ac:dyDescent="0.45">
      <c r="A20" s="47">
        <v>19</v>
      </c>
      <c r="B20" s="48" t="s">
        <v>47</v>
      </c>
      <c r="C20" s="53" t="s">
        <v>99</v>
      </c>
      <c r="D20" s="46" t="s">
        <v>148</v>
      </c>
      <c r="E20" s="52" t="s">
        <v>186</v>
      </c>
      <c r="F20" s="46" t="s">
        <v>242</v>
      </c>
      <c r="G20" s="46" t="s">
        <v>42</v>
      </c>
      <c r="H20" s="46">
        <v>114</v>
      </c>
      <c r="I20" s="46">
        <v>52</v>
      </c>
      <c r="J20" s="50">
        <f t="shared" si="0"/>
        <v>9.5</v>
      </c>
      <c r="K20" s="50">
        <f t="shared" si="1"/>
        <v>4.333333333333333</v>
      </c>
      <c r="L20" s="49">
        <v>1</v>
      </c>
      <c r="M20" s="50">
        <f t="shared" si="2"/>
        <v>41.166666666666664</v>
      </c>
      <c r="N20" s="49">
        <v>0</v>
      </c>
      <c r="O20" s="45">
        <f t="shared" si="3"/>
        <v>0</v>
      </c>
      <c r="P20" s="45">
        <f t="shared" si="4"/>
        <v>0</v>
      </c>
      <c r="Q20" s="45">
        <f t="shared" si="5"/>
        <v>0</v>
      </c>
    </row>
    <row r="21" spans="1:17" x14ac:dyDescent="0.45">
      <c r="A21" s="51">
        <v>20</v>
      </c>
      <c r="B21" s="48" t="s">
        <v>47</v>
      </c>
      <c r="C21" s="53" t="s">
        <v>99</v>
      </c>
      <c r="D21" s="46" t="s">
        <v>148</v>
      </c>
      <c r="E21" s="52" t="s">
        <v>186</v>
      </c>
      <c r="F21" s="46" t="s">
        <v>242</v>
      </c>
      <c r="G21" s="46" t="s">
        <v>42</v>
      </c>
      <c r="H21" s="46">
        <v>143</v>
      </c>
      <c r="I21" s="46">
        <v>29</v>
      </c>
      <c r="J21" s="50">
        <f t="shared" si="0"/>
        <v>11.916666666666666</v>
      </c>
      <c r="K21" s="50">
        <f t="shared" si="1"/>
        <v>2.4166666666666665</v>
      </c>
      <c r="L21" s="49">
        <v>1</v>
      </c>
      <c r="M21" s="50">
        <f t="shared" si="2"/>
        <v>28.798611111111107</v>
      </c>
      <c r="N21" s="49">
        <v>0</v>
      </c>
      <c r="O21" s="45">
        <f t="shared" si="3"/>
        <v>0</v>
      </c>
      <c r="P21" s="45">
        <f t="shared" si="4"/>
        <v>0</v>
      </c>
      <c r="Q21" s="45">
        <f t="shared" si="5"/>
        <v>0</v>
      </c>
    </row>
    <row r="22" spans="1:17" x14ac:dyDescent="0.45">
      <c r="A22" s="47">
        <v>21</v>
      </c>
      <c r="B22" s="48" t="s">
        <v>48</v>
      </c>
      <c r="C22" s="53" t="s">
        <v>100</v>
      </c>
      <c r="D22" s="46" t="s">
        <v>151</v>
      </c>
      <c r="E22" s="52" t="s">
        <v>187</v>
      </c>
      <c r="F22" s="46" t="s">
        <v>243</v>
      </c>
      <c r="G22" s="46" t="s">
        <v>290</v>
      </c>
      <c r="H22" s="46">
        <v>21</v>
      </c>
      <c r="I22" s="46">
        <v>74</v>
      </c>
      <c r="J22" s="50">
        <f t="shared" si="0"/>
        <v>1.75</v>
      </c>
      <c r="K22" s="50">
        <f t="shared" si="1"/>
        <v>6.166666666666667</v>
      </c>
      <c r="L22" s="49">
        <v>1</v>
      </c>
      <c r="M22" s="50">
        <f t="shared" si="2"/>
        <v>10.791666666666668</v>
      </c>
      <c r="N22" s="49">
        <v>0</v>
      </c>
      <c r="O22" s="45">
        <f t="shared" si="3"/>
        <v>0</v>
      </c>
      <c r="P22" s="45">
        <f t="shared" si="4"/>
        <v>0</v>
      </c>
      <c r="Q22" s="45">
        <f t="shared" si="5"/>
        <v>0</v>
      </c>
    </row>
    <row r="23" spans="1:17" x14ac:dyDescent="0.45">
      <c r="A23" s="47">
        <v>22</v>
      </c>
      <c r="B23" s="48" t="s">
        <v>48</v>
      </c>
      <c r="C23" s="53" t="s">
        <v>100</v>
      </c>
      <c r="D23" s="46" t="s">
        <v>151</v>
      </c>
      <c r="E23" s="52" t="s">
        <v>187</v>
      </c>
      <c r="F23" s="46" t="s">
        <v>243</v>
      </c>
      <c r="G23" s="46" t="s">
        <v>290</v>
      </c>
      <c r="H23" s="46">
        <v>21</v>
      </c>
      <c r="I23" s="46">
        <v>74</v>
      </c>
      <c r="J23" s="50">
        <f t="shared" si="0"/>
        <v>1.75</v>
      </c>
      <c r="K23" s="50">
        <f t="shared" si="1"/>
        <v>6.166666666666667</v>
      </c>
      <c r="L23" s="49">
        <v>1</v>
      </c>
      <c r="M23" s="50">
        <f t="shared" si="2"/>
        <v>10.791666666666668</v>
      </c>
      <c r="N23" s="49">
        <v>0</v>
      </c>
      <c r="O23" s="45">
        <f t="shared" si="3"/>
        <v>0</v>
      </c>
      <c r="P23" s="45">
        <f t="shared" si="4"/>
        <v>0</v>
      </c>
      <c r="Q23" s="45">
        <f t="shared" si="5"/>
        <v>0</v>
      </c>
    </row>
    <row r="24" spans="1:17" x14ac:dyDescent="0.45">
      <c r="A24" s="51">
        <v>23</v>
      </c>
      <c r="B24" s="48" t="s">
        <v>48</v>
      </c>
      <c r="C24" s="53" t="s">
        <v>100</v>
      </c>
      <c r="D24" s="46" t="s">
        <v>151</v>
      </c>
      <c r="E24" s="52" t="s">
        <v>187</v>
      </c>
      <c r="F24" s="46" t="s">
        <v>243</v>
      </c>
      <c r="G24" s="46" t="s">
        <v>42</v>
      </c>
      <c r="H24" s="46">
        <v>51</v>
      </c>
      <c r="I24" s="46">
        <v>27</v>
      </c>
      <c r="J24" s="50">
        <f t="shared" si="0"/>
        <v>4.25</v>
      </c>
      <c r="K24" s="50">
        <f t="shared" si="1"/>
        <v>2.25</v>
      </c>
      <c r="L24" s="49">
        <v>1</v>
      </c>
      <c r="M24" s="50">
        <f t="shared" si="2"/>
        <v>9.5625</v>
      </c>
      <c r="N24" s="49">
        <v>0</v>
      </c>
      <c r="O24" s="45">
        <f t="shared" si="3"/>
        <v>0</v>
      </c>
      <c r="P24" s="45">
        <f t="shared" si="4"/>
        <v>0</v>
      </c>
      <c r="Q24" s="45">
        <f t="shared" si="5"/>
        <v>0</v>
      </c>
    </row>
    <row r="25" spans="1:17" x14ac:dyDescent="0.45">
      <c r="A25" s="47">
        <v>24</v>
      </c>
      <c r="B25" s="48" t="s">
        <v>48</v>
      </c>
      <c r="C25" s="53" t="s">
        <v>100</v>
      </c>
      <c r="D25" s="46" t="s">
        <v>151</v>
      </c>
      <c r="E25" s="52" t="s">
        <v>187</v>
      </c>
      <c r="F25" s="46" t="s">
        <v>243</v>
      </c>
      <c r="G25" s="46" t="s">
        <v>42</v>
      </c>
      <c r="H25" s="46">
        <v>84</v>
      </c>
      <c r="I25" s="46">
        <v>29</v>
      </c>
      <c r="J25" s="50">
        <f t="shared" si="0"/>
        <v>7</v>
      </c>
      <c r="K25" s="50">
        <f t="shared" si="1"/>
        <v>2.4166666666666665</v>
      </c>
      <c r="L25" s="49">
        <v>1</v>
      </c>
      <c r="M25" s="50">
        <f t="shared" si="2"/>
        <v>16.916666666666664</v>
      </c>
      <c r="N25" s="49">
        <v>0</v>
      </c>
      <c r="O25" s="45">
        <f t="shared" si="3"/>
        <v>0</v>
      </c>
      <c r="P25" s="45">
        <f t="shared" si="4"/>
        <v>0</v>
      </c>
      <c r="Q25" s="45">
        <f t="shared" si="5"/>
        <v>0</v>
      </c>
    </row>
    <row r="26" spans="1:17" x14ac:dyDescent="0.45">
      <c r="A26" s="47">
        <v>25</v>
      </c>
      <c r="B26" s="48" t="s">
        <v>48</v>
      </c>
      <c r="C26" s="53" t="s">
        <v>100</v>
      </c>
      <c r="D26" s="46" t="s">
        <v>151</v>
      </c>
      <c r="E26" s="52" t="s">
        <v>187</v>
      </c>
      <c r="F26" s="46" t="s">
        <v>243</v>
      </c>
      <c r="G26" s="46" t="s">
        <v>42</v>
      </c>
      <c r="H26" s="46">
        <v>94</v>
      </c>
      <c r="I26" s="46">
        <v>32</v>
      </c>
      <c r="J26" s="50">
        <f t="shared" si="0"/>
        <v>7.833333333333333</v>
      </c>
      <c r="K26" s="50">
        <f t="shared" si="1"/>
        <v>2.6666666666666665</v>
      </c>
      <c r="L26" s="49">
        <v>1</v>
      </c>
      <c r="M26" s="50">
        <f t="shared" si="2"/>
        <v>20.888888888888886</v>
      </c>
      <c r="N26" s="49">
        <v>0</v>
      </c>
      <c r="O26" s="45">
        <f t="shared" si="3"/>
        <v>0</v>
      </c>
      <c r="P26" s="45">
        <f t="shared" si="4"/>
        <v>0</v>
      </c>
      <c r="Q26" s="45">
        <f t="shared" si="5"/>
        <v>0</v>
      </c>
    </row>
    <row r="27" spans="1:17" x14ac:dyDescent="0.45">
      <c r="A27" s="51">
        <v>26</v>
      </c>
      <c r="B27" s="48" t="s">
        <v>48</v>
      </c>
      <c r="C27" s="53" t="s">
        <v>100</v>
      </c>
      <c r="D27" s="46" t="s">
        <v>151</v>
      </c>
      <c r="E27" s="52" t="s">
        <v>187</v>
      </c>
      <c r="F27" s="46" t="s">
        <v>243</v>
      </c>
      <c r="G27" s="46" t="s">
        <v>42</v>
      </c>
      <c r="H27" s="46">
        <v>94</v>
      </c>
      <c r="I27" s="46">
        <v>32</v>
      </c>
      <c r="J27" s="50">
        <f t="shared" si="0"/>
        <v>7.833333333333333</v>
      </c>
      <c r="K27" s="50">
        <f t="shared" si="1"/>
        <v>2.6666666666666665</v>
      </c>
      <c r="L27" s="49">
        <v>1</v>
      </c>
      <c r="M27" s="50">
        <f t="shared" si="2"/>
        <v>20.888888888888886</v>
      </c>
      <c r="N27" s="49">
        <v>0</v>
      </c>
      <c r="O27" s="45">
        <f t="shared" si="3"/>
        <v>0</v>
      </c>
      <c r="P27" s="45">
        <f t="shared" si="4"/>
        <v>0</v>
      </c>
      <c r="Q27" s="45">
        <f t="shared" si="5"/>
        <v>0</v>
      </c>
    </row>
    <row r="28" spans="1:17" x14ac:dyDescent="0.45">
      <c r="A28" s="47">
        <v>27</v>
      </c>
      <c r="B28" s="48" t="s">
        <v>48</v>
      </c>
      <c r="C28" s="53" t="s">
        <v>100</v>
      </c>
      <c r="D28" s="46" t="s">
        <v>151</v>
      </c>
      <c r="E28" s="52" t="s">
        <v>187</v>
      </c>
      <c r="F28" s="46" t="s">
        <v>243</v>
      </c>
      <c r="G28" s="46" t="s">
        <v>42</v>
      </c>
      <c r="H28" s="46">
        <v>103</v>
      </c>
      <c r="I28" s="46">
        <v>36</v>
      </c>
      <c r="J28" s="50">
        <f t="shared" si="0"/>
        <v>8.5833333333333339</v>
      </c>
      <c r="K28" s="50">
        <f t="shared" si="1"/>
        <v>3</v>
      </c>
      <c r="L28" s="49">
        <v>1</v>
      </c>
      <c r="M28" s="50">
        <f t="shared" si="2"/>
        <v>25.75</v>
      </c>
      <c r="N28" s="49">
        <v>0</v>
      </c>
      <c r="O28" s="45">
        <f t="shared" si="3"/>
        <v>0</v>
      </c>
      <c r="P28" s="45">
        <f t="shared" si="4"/>
        <v>0</v>
      </c>
      <c r="Q28" s="45">
        <f t="shared" si="5"/>
        <v>0</v>
      </c>
    </row>
    <row r="29" spans="1:17" x14ac:dyDescent="0.45">
      <c r="A29" s="47">
        <v>28</v>
      </c>
      <c r="B29" s="48" t="s">
        <v>48</v>
      </c>
      <c r="C29" s="53" t="s">
        <v>100</v>
      </c>
      <c r="D29" s="46" t="s">
        <v>151</v>
      </c>
      <c r="E29" s="52" t="s">
        <v>187</v>
      </c>
      <c r="F29" s="46" t="s">
        <v>243</v>
      </c>
      <c r="G29" s="46" t="s">
        <v>42</v>
      </c>
      <c r="H29" s="46">
        <v>109</v>
      </c>
      <c r="I29" s="46">
        <v>114</v>
      </c>
      <c r="J29" s="50">
        <f t="shared" si="0"/>
        <v>9.0833333333333339</v>
      </c>
      <c r="K29" s="50">
        <f t="shared" si="1"/>
        <v>9.5</v>
      </c>
      <c r="L29" s="49">
        <v>1</v>
      </c>
      <c r="M29" s="50">
        <f t="shared" si="2"/>
        <v>86.291666666666671</v>
      </c>
      <c r="N29" s="49">
        <v>0</v>
      </c>
      <c r="O29" s="45">
        <f t="shared" si="3"/>
        <v>0</v>
      </c>
      <c r="P29" s="45">
        <f t="shared" si="4"/>
        <v>0</v>
      </c>
      <c r="Q29" s="45">
        <f t="shared" si="5"/>
        <v>0</v>
      </c>
    </row>
    <row r="30" spans="1:17" x14ac:dyDescent="0.45">
      <c r="A30" s="51">
        <v>29</v>
      </c>
      <c r="B30" s="48" t="s">
        <v>48</v>
      </c>
      <c r="C30" s="53" t="s">
        <v>100</v>
      </c>
      <c r="D30" s="46" t="s">
        <v>151</v>
      </c>
      <c r="E30" s="52" t="s">
        <v>187</v>
      </c>
      <c r="F30" s="46" t="s">
        <v>243</v>
      </c>
      <c r="G30" s="46" t="s">
        <v>42</v>
      </c>
      <c r="H30" s="46">
        <v>132</v>
      </c>
      <c r="I30" s="46">
        <v>75</v>
      </c>
      <c r="J30" s="50">
        <f t="shared" si="0"/>
        <v>11</v>
      </c>
      <c r="K30" s="50">
        <f t="shared" si="1"/>
        <v>6.25</v>
      </c>
      <c r="L30" s="49">
        <v>1</v>
      </c>
      <c r="M30" s="50">
        <f t="shared" si="2"/>
        <v>68.75</v>
      </c>
      <c r="N30" s="49">
        <v>0</v>
      </c>
      <c r="O30" s="45">
        <f t="shared" si="3"/>
        <v>0</v>
      </c>
      <c r="P30" s="45">
        <f t="shared" si="4"/>
        <v>0</v>
      </c>
      <c r="Q30" s="45">
        <f t="shared" si="5"/>
        <v>0</v>
      </c>
    </row>
    <row r="31" spans="1:17" x14ac:dyDescent="0.45">
      <c r="A31" s="47">
        <v>30</v>
      </c>
      <c r="B31" s="48" t="s">
        <v>48</v>
      </c>
      <c r="C31" s="53" t="s">
        <v>100</v>
      </c>
      <c r="D31" s="46" t="s">
        <v>151</v>
      </c>
      <c r="E31" s="52" t="s">
        <v>187</v>
      </c>
      <c r="F31" s="46" t="s">
        <v>243</v>
      </c>
      <c r="G31" s="46" t="s">
        <v>42</v>
      </c>
      <c r="H31" s="46">
        <v>236</v>
      </c>
      <c r="I31" s="46">
        <v>40</v>
      </c>
      <c r="J31" s="50">
        <f t="shared" si="0"/>
        <v>19.666666666666668</v>
      </c>
      <c r="K31" s="50">
        <f t="shared" si="1"/>
        <v>3.3333333333333335</v>
      </c>
      <c r="L31" s="49">
        <v>1</v>
      </c>
      <c r="M31" s="50">
        <f t="shared" si="2"/>
        <v>65.555555555555557</v>
      </c>
      <c r="N31" s="49">
        <v>0</v>
      </c>
      <c r="O31" s="45">
        <f t="shared" si="3"/>
        <v>0</v>
      </c>
      <c r="P31" s="45">
        <f t="shared" si="4"/>
        <v>0</v>
      </c>
      <c r="Q31" s="45">
        <f t="shared" si="5"/>
        <v>0</v>
      </c>
    </row>
    <row r="32" spans="1:17" x14ac:dyDescent="0.45">
      <c r="A32" s="47">
        <v>31</v>
      </c>
      <c r="B32" s="48" t="s">
        <v>49</v>
      </c>
      <c r="C32" s="53" t="s">
        <v>101</v>
      </c>
      <c r="D32" s="46" t="s">
        <v>152</v>
      </c>
      <c r="E32" s="52" t="s">
        <v>188</v>
      </c>
      <c r="F32" s="46" t="s">
        <v>244</v>
      </c>
      <c r="G32" s="46" t="s">
        <v>292</v>
      </c>
      <c r="H32" s="46">
        <v>40</v>
      </c>
      <c r="I32" s="46">
        <v>93</v>
      </c>
      <c r="J32" s="50">
        <f t="shared" si="0"/>
        <v>3.3333333333333335</v>
      </c>
      <c r="K32" s="50">
        <f t="shared" si="1"/>
        <v>7.75</v>
      </c>
      <c r="L32" s="49">
        <v>1</v>
      </c>
      <c r="M32" s="50">
        <f t="shared" si="2"/>
        <v>25.833333333333336</v>
      </c>
      <c r="N32" s="49">
        <v>0</v>
      </c>
      <c r="O32" s="45">
        <f t="shared" si="3"/>
        <v>0</v>
      </c>
      <c r="P32" s="45">
        <f t="shared" si="4"/>
        <v>0</v>
      </c>
      <c r="Q32" s="45">
        <f t="shared" si="5"/>
        <v>0</v>
      </c>
    </row>
    <row r="33" spans="1:17" x14ac:dyDescent="0.45">
      <c r="A33" s="51">
        <v>32</v>
      </c>
      <c r="B33" s="48" t="s">
        <v>49</v>
      </c>
      <c r="C33" s="53" t="s">
        <v>101</v>
      </c>
      <c r="D33" s="46" t="s">
        <v>152</v>
      </c>
      <c r="E33" s="52" t="s">
        <v>188</v>
      </c>
      <c r="F33" s="46" t="s">
        <v>244</v>
      </c>
      <c r="G33" s="46" t="s">
        <v>290</v>
      </c>
      <c r="H33" s="46">
        <v>60</v>
      </c>
      <c r="I33" s="46">
        <v>34</v>
      </c>
      <c r="J33" s="50">
        <f t="shared" si="0"/>
        <v>5</v>
      </c>
      <c r="K33" s="50">
        <f t="shared" si="1"/>
        <v>2.8333333333333335</v>
      </c>
      <c r="L33" s="49">
        <v>1</v>
      </c>
      <c r="M33" s="50">
        <f t="shared" si="2"/>
        <v>14.166666666666668</v>
      </c>
      <c r="N33" s="49">
        <v>0</v>
      </c>
      <c r="O33" s="45">
        <f t="shared" si="3"/>
        <v>0</v>
      </c>
      <c r="P33" s="45">
        <f t="shared" si="4"/>
        <v>0</v>
      </c>
      <c r="Q33" s="45">
        <f t="shared" si="5"/>
        <v>0</v>
      </c>
    </row>
    <row r="34" spans="1:17" x14ac:dyDescent="0.45">
      <c r="A34" s="47">
        <v>33</v>
      </c>
      <c r="B34" s="48" t="s">
        <v>50</v>
      </c>
      <c r="C34" s="53" t="s">
        <v>102</v>
      </c>
      <c r="D34" s="46" t="s">
        <v>153</v>
      </c>
      <c r="E34" s="52" t="s">
        <v>189</v>
      </c>
      <c r="F34" s="46" t="s">
        <v>245</v>
      </c>
      <c r="G34" s="46" t="s">
        <v>42</v>
      </c>
      <c r="H34" s="46">
        <v>42</v>
      </c>
      <c r="I34" s="46">
        <v>101</v>
      </c>
      <c r="J34" s="50">
        <f t="shared" si="0"/>
        <v>3.5</v>
      </c>
      <c r="K34" s="50">
        <f t="shared" si="1"/>
        <v>8.4166666666666661</v>
      </c>
      <c r="L34" s="49">
        <v>1</v>
      </c>
      <c r="M34" s="50">
        <f t="shared" si="2"/>
        <v>29.458333333333332</v>
      </c>
      <c r="N34" s="49">
        <v>0</v>
      </c>
      <c r="O34" s="45">
        <f t="shared" si="3"/>
        <v>0</v>
      </c>
      <c r="P34" s="45">
        <f t="shared" si="4"/>
        <v>0</v>
      </c>
      <c r="Q34" s="45">
        <f t="shared" si="5"/>
        <v>0</v>
      </c>
    </row>
    <row r="35" spans="1:17" x14ac:dyDescent="0.45">
      <c r="A35" s="47">
        <v>34</v>
      </c>
      <c r="B35" s="48" t="s">
        <v>50</v>
      </c>
      <c r="C35" s="53" t="s">
        <v>102</v>
      </c>
      <c r="D35" s="46" t="s">
        <v>153</v>
      </c>
      <c r="E35" s="52" t="s">
        <v>189</v>
      </c>
      <c r="F35" s="46" t="s">
        <v>245</v>
      </c>
      <c r="G35" s="46" t="s">
        <v>42</v>
      </c>
      <c r="H35" s="46">
        <v>108</v>
      </c>
      <c r="I35" s="46">
        <v>97</v>
      </c>
      <c r="J35" s="50">
        <f t="shared" si="0"/>
        <v>9</v>
      </c>
      <c r="K35" s="50">
        <f t="shared" si="1"/>
        <v>8.0833333333333339</v>
      </c>
      <c r="L35" s="49">
        <v>1</v>
      </c>
      <c r="M35" s="50">
        <f t="shared" si="2"/>
        <v>72.75</v>
      </c>
      <c r="N35" s="49">
        <v>0</v>
      </c>
      <c r="O35" s="45">
        <f t="shared" si="3"/>
        <v>0</v>
      </c>
      <c r="P35" s="45">
        <f t="shared" si="4"/>
        <v>0</v>
      </c>
      <c r="Q35" s="45">
        <f t="shared" si="5"/>
        <v>0</v>
      </c>
    </row>
    <row r="36" spans="1:17" x14ac:dyDescent="0.45">
      <c r="A36" s="51">
        <v>35</v>
      </c>
      <c r="B36" s="48" t="s">
        <v>50</v>
      </c>
      <c r="C36" s="53" t="s">
        <v>102</v>
      </c>
      <c r="D36" s="46" t="s">
        <v>153</v>
      </c>
      <c r="E36" s="52" t="s">
        <v>189</v>
      </c>
      <c r="F36" s="46" t="s">
        <v>245</v>
      </c>
      <c r="G36" s="46" t="s">
        <v>290</v>
      </c>
      <c r="H36" s="46">
        <v>185</v>
      </c>
      <c r="I36" s="46">
        <v>33</v>
      </c>
      <c r="J36" s="50">
        <f t="shared" si="0"/>
        <v>15.416666666666666</v>
      </c>
      <c r="K36" s="50">
        <f t="shared" si="1"/>
        <v>2.75</v>
      </c>
      <c r="L36" s="49">
        <v>1</v>
      </c>
      <c r="M36" s="50">
        <f t="shared" si="2"/>
        <v>42.395833333333329</v>
      </c>
      <c r="N36" s="49">
        <v>0</v>
      </c>
      <c r="O36" s="45">
        <f t="shared" si="3"/>
        <v>0</v>
      </c>
      <c r="P36" s="45">
        <f t="shared" si="4"/>
        <v>0</v>
      </c>
      <c r="Q36" s="45">
        <f t="shared" si="5"/>
        <v>0</v>
      </c>
    </row>
    <row r="37" spans="1:17" x14ac:dyDescent="0.45">
      <c r="A37" s="47">
        <v>36</v>
      </c>
      <c r="B37" s="49" t="s">
        <v>51</v>
      </c>
      <c r="C37" s="49" t="s">
        <v>103</v>
      </c>
      <c r="D37" s="46" t="s">
        <v>154</v>
      </c>
      <c r="E37" s="52" t="s">
        <v>190</v>
      </c>
      <c r="F37" s="51" t="s">
        <v>246</v>
      </c>
      <c r="G37" s="46" t="s">
        <v>292</v>
      </c>
      <c r="H37" s="46">
        <v>36</v>
      </c>
      <c r="I37" s="46">
        <v>40</v>
      </c>
      <c r="J37" s="50">
        <f t="shared" si="0"/>
        <v>3</v>
      </c>
      <c r="K37" s="50">
        <f t="shared" si="1"/>
        <v>3.3333333333333335</v>
      </c>
      <c r="L37" s="49">
        <v>1</v>
      </c>
      <c r="M37" s="50">
        <f t="shared" si="2"/>
        <v>10</v>
      </c>
      <c r="N37" s="49">
        <v>0</v>
      </c>
      <c r="O37" s="45">
        <f t="shared" si="3"/>
        <v>0</v>
      </c>
      <c r="P37" s="45">
        <f t="shared" si="4"/>
        <v>0</v>
      </c>
      <c r="Q37" s="45">
        <f t="shared" si="5"/>
        <v>0</v>
      </c>
    </row>
    <row r="38" spans="1:17" x14ac:dyDescent="0.45">
      <c r="A38" s="47">
        <v>37</v>
      </c>
      <c r="B38" s="49" t="s">
        <v>51</v>
      </c>
      <c r="C38" s="49" t="s">
        <v>103</v>
      </c>
      <c r="D38" s="46" t="s">
        <v>154</v>
      </c>
      <c r="E38" s="52" t="s">
        <v>190</v>
      </c>
      <c r="F38" s="51" t="s">
        <v>246</v>
      </c>
      <c r="G38" s="46" t="s">
        <v>42</v>
      </c>
      <c r="H38" s="46">
        <v>131</v>
      </c>
      <c r="I38" s="46">
        <v>60</v>
      </c>
      <c r="J38" s="50">
        <f t="shared" si="0"/>
        <v>10.916666666666666</v>
      </c>
      <c r="K38" s="50">
        <f t="shared" si="1"/>
        <v>5</v>
      </c>
      <c r="L38" s="49">
        <v>1</v>
      </c>
      <c r="M38" s="50">
        <f t="shared" si="2"/>
        <v>54.583333333333329</v>
      </c>
      <c r="N38" s="49">
        <v>0</v>
      </c>
      <c r="O38" s="45">
        <f t="shared" si="3"/>
        <v>0</v>
      </c>
      <c r="P38" s="45">
        <f t="shared" si="4"/>
        <v>0</v>
      </c>
      <c r="Q38" s="45">
        <f t="shared" si="5"/>
        <v>0</v>
      </c>
    </row>
    <row r="39" spans="1:17" x14ac:dyDescent="0.45">
      <c r="A39" s="51">
        <v>38</v>
      </c>
      <c r="B39" s="49" t="s">
        <v>51</v>
      </c>
      <c r="C39" s="49" t="s">
        <v>103</v>
      </c>
      <c r="D39" s="46" t="s">
        <v>154</v>
      </c>
      <c r="E39" s="52" t="s">
        <v>190</v>
      </c>
      <c r="F39" s="51" t="s">
        <v>246</v>
      </c>
      <c r="G39" s="46" t="s">
        <v>42</v>
      </c>
      <c r="H39" s="46">
        <v>240</v>
      </c>
      <c r="I39" s="46">
        <v>17</v>
      </c>
      <c r="J39" s="50">
        <f t="shared" si="0"/>
        <v>20</v>
      </c>
      <c r="K39" s="50">
        <f t="shared" si="1"/>
        <v>1.4166666666666667</v>
      </c>
      <c r="L39" s="49">
        <v>1</v>
      </c>
      <c r="M39" s="50">
        <f t="shared" si="2"/>
        <v>28.333333333333336</v>
      </c>
      <c r="N39" s="49">
        <v>0</v>
      </c>
      <c r="O39" s="45">
        <f t="shared" si="3"/>
        <v>0</v>
      </c>
      <c r="P39" s="45">
        <f t="shared" si="4"/>
        <v>0</v>
      </c>
      <c r="Q39" s="45">
        <f t="shared" si="5"/>
        <v>0</v>
      </c>
    </row>
    <row r="40" spans="1:17" x14ac:dyDescent="0.45">
      <c r="A40" s="47">
        <v>39</v>
      </c>
      <c r="B40" s="49" t="s">
        <v>52</v>
      </c>
      <c r="C40" s="49" t="s">
        <v>104</v>
      </c>
      <c r="D40" s="46" t="s">
        <v>154</v>
      </c>
      <c r="E40" s="52" t="s">
        <v>191</v>
      </c>
      <c r="F40" s="51" t="s">
        <v>247</v>
      </c>
      <c r="G40" s="46" t="s">
        <v>334</v>
      </c>
      <c r="H40" s="46">
        <v>30</v>
      </c>
      <c r="I40" s="46">
        <v>46</v>
      </c>
      <c r="J40" s="50">
        <f t="shared" si="0"/>
        <v>2.5</v>
      </c>
      <c r="K40" s="50">
        <f t="shared" si="1"/>
        <v>3.8333333333333335</v>
      </c>
      <c r="L40" s="49">
        <v>1</v>
      </c>
      <c r="M40" s="50">
        <f t="shared" si="2"/>
        <v>9.5833333333333339</v>
      </c>
      <c r="N40" s="49">
        <v>0</v>
      </c>
      <c r="O40" s="45">
        <f t="shared" si="3"/>
        <v>0</v>
      </c>
      <c r="P40" s="45">
        <f t="shared" si="4"/>
        <v>0</v>
      </c>
      <c r="Q40" s="45">
        <f t="shared" si="5"/>
        <v>0</v>
      </c>
    </row>
    <row r="41" spans="1:17" x14ac:dyDescent="0.45">
      <c r="A41" s="47">
        <v>40</v>
      </c>
      <c r="B41" s="48" t="s">
        <v>53</v>
      </c>
      <c r="C41" s="49" t="s">
        <v>105</v>
      </c>
      <c r="D41" s="46" t="s">
        <v>154</v>
      </c>
      <c r="E41" s="46" t="s">
        <v>192</v>
      </c>
      <c r="F41" s="51" t="s">
        <v>248</v>
      </c>
      <c r="G41" s="46" t="s">
        <v>290</v>
      </c>
      <c r="H41" s="46">
        <v>14</v>
      </c>
      <c r="I41" s="46">
        <v>70</v>
      </c>
      <c r="J41" s="50">
        <f t="shared" si="0"/>
        <v>1.1666666666666667</v>
      </c>
      <c r="K41" s="50">
        <f t="shared" si="1"/>
        <v>5.833333333333333</v>
      </c>
      <c r="L41" s="49">
        <v>1</v>
      </c>
      <c r="M41" s="50">
        <f t="shared" si="2"/>
        <v>6.8055555555555554</v>
      </c>
      <c r="N41" s="49">
        <v>0</v>
      </c>
      <c r="O41" s="45">
        <f t="shared" si="3"/>
        <v>0</v>
      </c>
      <c r="P41" s="45">
        <f t="shared" si="4"/>
        <v>0</v>
      </c>
      <c r="Q41" s="45">
        <f t="shared" si="5"/>
        <v>0</v>
      </c>
    </row>
    <row r="42" spans="1:17" x14ac:dyDescent="0.45">
      <c r="A42" s="51">
        <v>41</v>
      </c>
      <c r="B42" s="48" t="s">
        <v>53</v>
      </c>
      <c r="C42" s="49" t="s">
        <v>105</v>
      </c>
      <c r="D42" s="46" t="s">
        <v>154</v>
      </c>
      <c r="E42" s="46" t="s">
        <v>192</v>
      </c>
      <c r="F42" s="51" t="s">
        <v>248</v>
      </c>
      <c r="G42" s="46" t="s">
        <v>290</v>
      </c>
      <c r="H42" s="46">
        <v>70</v>
      </c>
      <c r="I42" s="46">
        <v>39</v>
      </c>
      <c r="J42" s="50">
        <f t="shared" si="0"/>
        <v>5.833333333333333</v>
      </c>
      <c r="K42" s="50">
        <f t="shared" si="1"/>
        <v>3.25</v>
      </c>
      <c r="L42" s="49">
        <v>1</v>
      </c>
      <c r="M42" s="50">
        <f t="shared" si="2"/>
        <v>18.958333333333332</v>
      </c>
      <c r="N42" s="49">
        <v>0</v>
      </c>
      <c r="O42" s="45">
        <f t="shared" si="3"/>
        <v>0</v>
      </c>
      <c r="P42" s="45">
        <f t="shared" si="4"/>
        <v>0</v>
      </c>
      <c r="Q42" s="45">
        <f t="shared" si="5"/>
        <v>0</v>
      </c>
    </row>
    <row r="43" spans="1:17" x14ac:dyDescent="0.45">
      <c r="A43" s="47">
        <v>42</v>
      </c>
      <c r="B43" s="48" t="s">
        <v>53</v>
      </c>
      <c r="C43" s="49" t="s">
        <v>105</v>
      </c>
      <c r="D43" s="46" t="s">
        <v>154</v>
      </c>
      <c r="E43" s="46" t="s">
        <v>192</v>
      </c>
      <c r="F43" s="51" t="s">
        <v>248</v>
      </c>
      <c r="G43" s="46" t="s">
        <v>42</v>
      </c>
      <c r="H43" s="46">
        <v>120</v>
      </c>
      <c r="I43" s="46">
        <v>30</v>
      </c>
      <c r="J43" s="50">
        <f t="shared" si="0"/>
        <v>10</v>
      </c>
      <c r="K43" s="50">
        <f t="shared" si="1"/>
        <v>2.5</v>
      </c>
      <c r="L43" s="49">
        <v>1</v>
      </c>
      <c r="M43" s="50">
        <f t="shared" si="2"/>
        <v>25</v>
      </c>
      <c r="N43" s="49">
        <v>0</v>
      </c>
      <c r="O43" s="45">
        <f t="shared" si="3"/>
        <v>0</v>
      </c>
      <c r="P43" s="45">
        <f t="shared" si="4"/>
        <v>0</v>
      </c>
      <c r="Q43" s="45">
        <f t="shared" si="5"/>
        <v>0</v>
      </c>
    </row>
    <row r="44" spans="1:17" x14ac:dyDescent="0.45">
      <c r="A44" s="47">
        <v>43</v>
      </c>
      <c r="B44" s="48" t="s">
        <v>54</v>
      </c>
      <c r="C44" s="49" t="s">
        <v>106</v>
      </c>
      <c r="D44" s="46" t="s">
        <v>155</v>
      </c>
      <c r="E44" s="46" t="s">
        <v>193</v>
      </c>
      <c r="F44" s="51" t="s">
        <v>249</v>
      </c>
      <c r="G44" s="46" t="s">
        <v>290</v>
      </c>
      <c r="H44" s="46">
        <v>37</v>
      </c>
      <c r="I44" s="46">
        <v>22</v>
      </c>
      <c r="J44" s="50">
        <f t="shared" si="0"/>
        <v>3.0833333333333335</v>
      </c>
      <c r="K44" s="50">
        <f t="shared" si="1"/>
        <v>1.8333333333333333</v>
      </c>
      <c r="L44" s="49">
        <v>1</v>
      </c>
      <c r="M44" s="50">
        <f t="shared" si="2"/>
        <v>5.6527777777777777</v>
      </c>
      <c r="N44" s="49">
        <v>0</v>
      </c>
      <c r="O44" s="45">
        <f t="shared" si="3"/>
        <v>0</v>
      </c>
      <c r="P44" s="45">
        <f t="shared" si="4"/>
        <v>0</v>
      </c>
      <c r="Q44" s="45">
        <f t="shared" si="5"/>
        <v>0</v>
      </c>
    </row>
    <row r="45" spans="1:17" x14ac:dyDescent="0.45">
      <c r="A45" s="51">
        <v>44</v>
      </c>
      <c r="B45" s="48" t="s">
        <v>54</v>
      </c>
      <c r="C45" s="49" t="s">
        <v>106</v>
      </c>
      <c r="D45" s="46" t="s">
        <v>155</v>
      </c>
      <c r="E45" s="46" t="s">
        <v>194</v>
      </c>
      <c r="F45" s="51" t="s">
        <v>249</v>
      </c>
      <c r="G45" s="46" t="s">
        <v>290</v>
      </c>
      <c r="H45" s="46">
        <v>44</v>
      </c>
      <c r="I45" s="46">
        <v>54</v>
      </c>
      <c r="J45" s="50">
        <f t="shared" si="0"/>
        <v>3.6666666666666665</v>
      </c>
      <c r="K45" s="50">
        <f t="shared" si="1"/>
        <v>4.5</v>
      </c>
      <c r="L45" s="49">
        <v>1</v>
      </c>
      <c r="M45" s="50">
        <f t="shared" si="2"/>
        <v>16.5</v>
      </c>
      <c r="N45" s="49">
        <v>0</v>
      </c>
      <c r="O45" s="45">
        <f t="shared" si="3"/>
        <v>0</v>
      </c>
      <c r="P45" s="45">
        <f t="shared" si="4"/>
        <v>0</v>
      </c>
      <c r="Q45" s="45">
        <f t="shared" si="5"/>
        <v>0</v>
      </c>
    </row>
    <row r="46" spans="1:17" x14ac:dyDescent="0.45">
      <c r="A46" s="47">
        <v>46</v>
      </c>
      <c r="B46" s="48" t="s">
        <v>54</v>
      </c>
      <c r="C46" s="49" t="s">
        <v>106</v>
      </c>
      <c r="D46" s="46" t="s">
        <v>155</v>
      </c>
      <c r="E46" s="46" t="s">
        <v>194</v>
      </c>
      <c r="F46" s="51" t="s">
        <v>249</v>
      </c>
      <c r="G46" s="46" t="s">
        <v>42</v>
      </c>
      <c r="H46" s="46">
        <v>52</v>
      </c>
      <c r="I46" s="46">
        <v>38</v>
      </c>
      <c r="J46" s="50">
        <f t="shared" si="0"/>
        <v>4.333333333333333</v>
      </c>
      <c r="K46" s="50">
        <f t="shared" si="1"/>
        <v>3.1666666666666665</v>
      </c>
      <c r="L46" s="49">
        <v>1</v>
      </c>
      <c r="M46" s="50">
        <f t="shared" si="2"/>
        <v>13.722222222222221</v>
      </c>
      <c r="N46" s="49">
        <v>0</v>
      </c>
      <c r="O46" s="45">
        <f t="shared" si="3"/>
        <v>0</v>
      </c>
      <c r="P46" s="45">
        <f t="shared" si="4"/>
        <v>0</v>
      </c>
      <c r="Q46" s="45">
        <f t="shared" si="5"/>
        <v>0</v>
      </c>
    </row>
    <row r="47" spans="1:17" x14ac:dyDescent="0.45">
      <c r="A47" s="47">
        <v>48</v>
      </c>
      <c r="B47" s="53" t="s">
        <v>55</v>
      </c>
      <c r="C47" s="53" t="s">
        <v>107</v>
      </c>
      <c r="D47" s="46" t="s">
        <v>154</v>
      </c>
      <c r="E47" s="52" t="s">
        <v>195</v>
      </c>
      <c r="F47" s="51" t="s">
        <v>250</v>
      </c>
      <c r="G47" s="46" t="s">
        <v>42</v>
      </c>
      <c r="H47" s="46">
        <v>16</v>
      </c>
      <c r="I47" s="46">
        <v>108</v>
      </c>
      <c r="J47" s="50">
        <f t="shared" si="0"/>
        <v>1.3333333333333333</v>
      </c>
      <c r="K47" s="50">
        <f t="shared" si="1"/>
        <v>9</v>
      </c>
      <c r="L47" s="49">
        <v>1</v>
      </c>
      <c r="M47" s="50">
        <f t="shared" si="2"/>
        <v>12</v>
      </c>
      <c r="N47" s="49">
        <v>0</v>
      </c>
      <c r="O47" s="45">
        <f t="shared" si="3"/>
        <v>0</v>
      </c>
      <c r="P47" s="45">
        <f t="shared" si="4"/>
        <v>0</v>
      </c>
      <c r="Q47" s="45">
        <f t="shared" si="5"/>
        <v>0</v>
      </c>
    </row>
    <row r="48" spans="1:17" x14ac:dyDescent="0.45">
      <c r="A48" s="47">
        <v>49</v>
      </c>
      <c r="B48" s="53" t="s">
        <v>55</v>
      </c>
      <c r="C48" s="53" t="s">
        <v>107</v>
      </c>
      <c r="D48" s="46" t="s">
        <v>154</v>
      </c>
      <c r="E48" s="52" t="s">
        <v>195</v>
      </c>
      <c r="F48" s="51" t="s">
        <v>250</v>
      </c>
      <c r="G48" s="46" t="s">
        <v>334</v>
      </c>
      <c r="H48" s="46">
        <v>48</v>
      </c>
      <c r="I48" s="46">
        <v>30</v>
      </c>
      <c r="J48" s="50">
        <f t="shared" si="0"/>
        <v>4</v>
      </c>
      <c r="K48" s="50">
        <f t="shared" si="1"/>
        <v>2.5</v>
      </c>
      <c r="L48" s="49">
        <v>1</v>
      </c>
      <c r="M48" s="50">
        <f t="shared" si="2"/>
        <v>10</v>
      </c>
      <c r="N48" s="49">
        <v>0</v>
      </c>
      <c r="O48" s="45">
        <f t="shared" si="3"/>
        <v>0</v>
      </c>
      <c r="P48" s="45">
        <f t="shared" si="4"/>
        <v>0</v>
      </c>
      <c r="Q48" s="45">
        <f t="shared" si="5"/>
        <v>0</v>
      </c>
    </row>
    <row r="49" spans="1:17" x14ac:dyDescent="0.45">
      <c r="A49" s="51">
        <v>50</v>
      </c>
      <c r="B49" s="53" t="s">
        <v>56</v>
      </c>
      <c r="C49" s="53" t="s">
        <v>108</v>
      </c>
      <c r="D49" s="46" t="s">
        <v>154</v>
      </c>
      <c r="E49" s="52" t="s">
        <v>196</v>
      </c>
      <c r="F49" s="51" t="s">
        <v>251</v>
      </c>
      <c r="G49" s="46" t="s">
        <v>42</v>
      </c>
      <c r="H49" s="46">
        <v>50</v>
      </c>
      <c r="I49" s="46">
        <v>40</v>
      </c>
      <c r="J49" s="50">
        <f t="shared" si="0"/>
        <v>4.166666666666667</v>
      </c>
      <c r="K49" s="50">
        <f t="shared" si="1"/>
        <v>3.3333333333333335</v>
      </c>
      <c r="L49" s="49">
        <v>1</v>
      </c>
      <c r="M49" s="50">
        <f t="shared" si="2"/>
        <v>13.888888888888891</v>
      </c>
      <c r="N49" s="49">
        <v>0</v>
      </c>
      <c r="O49" s="45">
        <f t="shared" si="3"/>
        <v>0</v>
      </c>
      <c r="P49" s="45">
        <f t="shared" si="4"/>
        <v>0</v>
      </c>
      <c r="Q49" s="45">
        <f t="shared" si="5"/>
        <v>0</v>
      </c>
    </row>
    <row r="50" spans="1:17" x14ac:dyDescent="0.45">
      <c r="A50" s="47">
        <v>51</v>
      </c>
      <c r="B50" s="53" t="s">
        <v>56</v>
      </c>
      <c r="C50" s="53" t="s">
        <v>108</v>
      </c>
      <c r="D50" s="46" t="s">
        <v>154</v>
      </c>
      <c r="E50" s="52" t="s">
        <v>196</v>
      </c>
      <c r="F50" s="51" t="s">
        <v>251</v>
      </c>
      <c r="G50" s="46" t="s">
        <v>292</v>
      </c>
      <c r="H50" s="46">
        <v>60</v>
      </c>
      <c r="I50" s="46">
        <v>46</v>
      </c>
      <c r="J50" s="50">
        <f t="shared" si="0"/>
        <v>5</v>
      </c>
      <c r="K50" s="50">
        <f t="shared" si="1"/>
        <v>3.8333333333333335</v>
      </c>
      <c r="L50" s="49">
        <v>1</v>
      </c>
      <c r="M50" s="50">
        <f t="shared" si="2"/>
        <v>19.166666666666668</v>
      </c>
      <c r="N50" s="49">
        <v>0</v>
      </c>
      <c r="O50" s="45">
        <f t="shared" si="3"/>
        <v>0</v>
      </c>
      <c r="P50" s="45">
        <f t="shared" si="4"/>
        <v>0</v>
      </c>
      <c r="Q50" s="45">
        <f t="shared" si="5"/>
        <v>0</v>
      </c>
    </row>
    <row r="51" spans="1:17" x14ac:dyDescent="0.45">
      <c r="A51" s="47">
        <v>52</v>
      </c>
      <c r="B51" s="53" t="s">
        <v>57</v>
      </c>
      <c r="C51" s="53" t="s">
        <v>109</v>
      </c>
      <c r="D51" s="46" t="s">
        <v>154</v>
      </c>
      <c r="E51" s="52" t="s">
        <v>197</v>
      </c>
      <c r="F51" s="51" t="s">
        <v>252</v>
      </c>
      <c r="G51" s="46" t="s">
        <v>290</v>
      </c>
      <c r="H51" s="46">
        <v>41</v>
      </c>
      <c r="I51" s="46">
        <v>16</v>
      </c>
      <c r="J51" s="50">
        <f t="shared" si="0"/>
        <v>3.4166666666666665</v>
      </c>
      <c r="K51" s="50">
        <f t="shared" si="1"/>
        <v>1.3333333333333333</v>
      </c>
      <c r="L51" s="49">
        <v>1</v>
      </c>
      <c r="M51" s="50">
        <f t="shared" si="2"/>
        <v>4.5555555555555554</v>
      </c>
      <c r="N51" s="49">
        <v>0</v>
      </c>
      <c r="O51" s="45">
        <f t="shared" si="3"/>
        <v>0</v>
      </c>
      <c r="P51" s="45">
        <f t="shared" si="4"/>
        <v>0</v>
      </c>
      <c r="Q51" s="45">
        <f t="shared" si="5"/>
        <v>0</v>
      </c>
    </row>
    <row r="52" spans="1:17" x14ac:dyDescent="0.45">
      <c r="A52" s="51">
        <v>53</v>
      </c>
      <c r="B52" s="53" t="s">
        <v>57</v>
      </c>
      <c r="C52" s="53" t="s">
        <v>109</v>
      </c>
      <c r="D52" s="46" t="s">
        <v>154</v>
      </c>
      <c r="E52" s="52" t="s">
        <v>197</v>
      </c>
      <c r="F52" s="51" t="s">
        <v>252</v>
      </c>
      <c r="G52" s="46" t="s">
        <v>292</v>
      </c>
      <c r="H52" s="46">
        <v>43</v>
      </c>
      <c r="I52" s="46">
        <v>18</v>
      </c>
      <c r="J52" s="50">
        <f t="shared" si="0"/>
        <v>3.5833333333333335</v>
      </c>
      <c r="K52" s="50">
        <f t="shared" si="1"/>
        <v>1.5</v>
      </c>
      <c r="L52" s="49">
        <v>1</v>
      </c>
      <c r="M52" s="50">
        <f t="shared" si="2"/>
        <v>5.375</v>
      </c>
      <c r="N52" s="49">
        <v>0</v>
      </c>
      <c r="O52" s="45">
        <f t="shared" si="3"/>
        <v>0</v>
      </c>
      <c r="P52" s="45">
        <f t="shared" si="4"/>
        <v>0</v>
      </c>
      <c r="Q52" s="45">
        <f t="shared" si="5"/>
        <v>0</v>
      </c>
    </row>
    <row r="53" spans="1:17" x14ac:dyDescent="0.45">
      <c r="A53" s="47">
        <v>54</v>
      </c>
      <c r="B53" s="53" t="s">
        <v>57</v>
      </c>
      <c r="C53" s="53" t="s">
        <v>109</v>
      </c>
      <c r="D53" s="46" t="s">
        <v>154</v>
      </c>
      <c r="E53" s="52" t="s">
        <v>197</v>
      </c>
      <c r="F53" s="51" t="s">
        <v>252</v>
      </c>
      <c r="G53" s="46" t="s">
        <v>290</v>
      </c>
      <c r="H53" s="46">
        <v>96</v>
      </c>
      <c r="I53" s="46">
        <v>29</v>
      </c>
      <c r="J53" s="50">
        <f t="shared" si="0"/>
        <v>8</v>
      </c>
      <c r="K53" s="50">
        <f t="shared" si="1"/>
        <v>2.4166666666666665</v>
      </c>
      <c r="L53" s="49">
        <v>1</v>
      </c>
      <c r="M53" s="50">
        <f t="shared" si="2"/>
        <v>19.333333333333332</v>
      </c>
      <c r="N53" s="49">
        <v>0</v>
      </c>
      <c r="O53" s="45">
        <f t="shared" si="3"/>
        <v>0</v>
      </c>
      <c r="P53" s="45">
        <f t="shared" si="4"/>
        <v>0</v>
      </c>
      <c r="Q53" s="45">
        <f t="shared" si="5"/>
        <v>0</v>
      </c>
    </row>
    <row r="54" spans="1:17" x14ac:dyDescent="0.45">
      <c r="A54" s="47">
        <v>55</v>
      </c>
      <c r="B54" s="53" t="s">
        <v>58</v>
      </c>
      <c r="C54" s="53" t="s">
        <v>110</v>
      </c>
      <c r="D54" s="46" t="s">
        <v>154</v>
      </c>
      <c r="E54" s="52" t="s">
        <v>198</v>
      </c>
      <c r="F54" s="51" t="s">
        <v>253</v>
      </c>
      <c r="G54" s="46" t="s">
        <v>334</v>
      </c>
      <c r="H54" s="46">
        <v>48</v>
      </c>
      <c r="I54" s="46">
        <v>40</v>
      </c>
      <c r="J54" s="50">
        <f t="shared" si="0"/>
        <v>4</v>
      </c>
      <c r="K54" s="50">
        <f t="shared" si="1"/>
        <v>3.3333333333333335</v>
      </c>
      <c r="L54" s="49">
        <v>1</v>
      </c>
      <c r="M54" s="50">
        <f t="shared" si="2"/>
        <v>13.333333333333334</v>
      </c>
      <c r="N54" s="49">
        <v>0</v>
      </c>
      <c r="O54" s="45">
        <f t="shared" si="3"/>
        <v>0</v>
      </c>
      <c r="P54" s="45">
        <f t="shared" si="4"/>
        <v>0</v>
      </c>
      <c r="Q54" s="45">
        <f t="shared" si="5"/>
        <v>0</v>
      </c>
    </row>
    <row r="55" spans="1:17" x14ac:dyDescent="0.45">
      <c r="A55" s="51">
        <v>56</v>
      </c>
      <c r="B55" s="53" t="s">
        <v>58</v>
      </c>
      <c r="C55" s="53" t="s">
        <v>110</v>
      </c>
      <c r="D55" s="46" t="s">
        <v>154</v>
      </c>
      <c r="E55" s="52" t="s">
        <v>198</v>
      </c>
      <c r="F55" s="51" t="s">
        <v>253</v>
      </c>
      <c r="G55" s="46" t="s">
        <v>290</v>
      </c>
      <c r="H55" s="46">
        <v>91</v>
      </c>
      <c r="I55" s="46">
        <v>30</v>
      </c>
      <c r="J55" s="50">
        <f t="shared" si="0"/>
        <v>7.583333333333333</v>
      </c>
      <c r="K55" s="50">
        <f t="shared" si="1"/>
        <v>2.5</v>
      </c>
      <c r="L55" s="49">
        <v>1</v>
      </c>
      <c r="M55" s="50">
        <f t="shared" si="2"/>
        <v>18.958333333333332</v>
      </c>
      <c r="N55" s="49">
        <v>0</v>
      </c>
      <c r="O55" s="45">
        <f t="shared" si="3"/>
        <v>0</v>
      </c>
      <c r="P55" s="45">
        <f t="shared" si="4"/>
        <v>0</v>
      </c>
      <c r="Q55" s="45">
        <f t="shared" si="5"/>
        <v>0</v>
      </c>
    </row>
    <row r="56" spans="1:17" x14ac:dyDescent="0.45">
      <c r="A56" s="47">
        <v>57</v>
      </c>
      <c r="B56" s="53" t="s">
        <v>59</v>
      </c>
      <c r="C56" s="53" t="s">
        <v>111</v>
      </c>
      <c r="D56" s="46" t="s">
        <v>154</v>
      </c>
      <c r="E56" s="52" t="s">
        <v>199</v>
      </c>
      <c r="F56" s="51" t="s">
        <v>254</v>
      </c>
      <c r="G56" s="46" t="s">
        <v>290</v>
      </c>
      <c r="H56" s="46">
        <v>180</v>
      </c>
      <c r="I56" s="46">
        <v>30</v>
      </c>
      <c r="J56" s="50">
        <f t="shared" si="0"/>
        <v>15</v>
      </c>
      <c r="K56" s="50">
        <f t="shared" si="1"/>
        <v>2.5</v>
      </c>
      <c r="L56" s="49">
        <v>1</v>
      </c>
      <c r="M56" s="50">
        <f t="shared" si="2"/>
        <v>37.5</v>
      </c>
      <c r="N56" s="49">
        <v>0</v>
      </c>
      <c r="O56" s="45">
        <f t="shared" si="3"/>
        <v>0</v>
      </c>
      <c r="P56" s="45">
        <f t="shared" si="4"/>
        <v>0</v>
      </c>
      <c r="Q56" s="45">
        <f t="shared" si="5"/>
        <v>0</v>
      </c>
    </row>
    <row r="57" spans="1:17" x14ac:dyDescent="0.45">
      <c r="A57" s="47">
        <v>58</v>
      </c>
      <c r="B57" s="53" t="s">
        <v>59</v>
      </c>
      <c r="C57" s="53" t="s">
        <v>111</v>
      </c>
      <c r="D57" s="46" t="s">
        <v>154</v>
      </c>
      <c r="E57" s="52" t="s">
        <v>199</v>
      </c>
      <c r="F57" s="51" t="s">
        <v>254</v>
      </c>
      <c r="G57" s="46" t="s">
        <v>292</v>
      </c>
      <c r="H57" s="46">
        <v>180</v>
      </c>
      <c r="I57" s="46">
        <v>35</v>
      </c>
      <c r="J57" s="50">
        <f t="shared" si="0"/>
        <v>15</v>
      </c>
      <c r="K57" s="50">
        <f t="shared" si="1"/>
        <v>2.9166666666666665</v>
      </c>
      <c r="L57" s="49">
        <v>1</v>
      </c>
      <c r="M57" s="50">
        <f t="shared" si="2"/>
        <v>43.75</v>
      </c>
      <c r="N57" s="49">
        <v>0</v>
      </c>
      <c r="O57" s="45">
        <f t="shared" si="3"/>
        <v>0</v>
      </c>
      <c r="P57" s="45">
        <f t="shared" si="4"/>
        <v>0</v>
      </c>
      <c r="Q57" s="45">
        <f t="shared" si="5"/>
        <v>0</v>
      </c>
    </row>
    <row r="58" spans="1:17" x14ac:dyDescent="0.45">
      <c r="A58" s="51">
        <v>59</v>
      </c>
      <c r="B58" s="53" t="s">
        <v>59</v>
      </c>
      <c r="C58" s="53" t="s">
        <v>111</v>
      </c>
      <c r="D58" s="46" t="s">
        <v>154</v>
      </c>
      <c r="E58" s="52" t="s">
        <v>199</v>
      </c>
      <c r="F58" s="51" t="s">
        <v>254</v>
      </c>
      <c r="G58" s="46" t="s">
        <v>290</v>
      </c>
      <c r="H58" s="46">
        <v>182</v>
      </c>
      <c r="I58" s="46">
        <v>120</v>
      </c>
      <c r="J58" s="50">
        <f t="shared" si="0"/>
        <v>15.166666666666666</v>
      </c>
      <c r="K58" s="50">
        <f t="shared" si="1"/>
        <v>10</v>
      </c>
      <c r="L58" s="49">
        <v>1</v>
      </c>
      <c r="M58" s="50">
        <f t="shared" si="2"/>
        <v>151.66666666666666</v>
      </c>
      <c r="N58" s="49">
        <v>0</v>
      </c>
      <c r="O58" s="45">
        <f t="shared" si="3"/>
        <v>0</v>
      </c>
      <c r="P58" s="45">
        <f t="shared" si="4"/>
        <v>0</v>
      </c>
      <c r="Q58" s="45">
        <f t="shared" si="5"/>
        <v>0</v>
      </c>
    </row>
    <row r="59" spans="1:17" x14ac:dyDescent="0.45">
      <c r="A59" s="47">
        <v>61</v>
      </c>
      <c r="B59" s="53" t="s">
        <v>60</v>
      </c>
      <c r="C59" s="53" t="s">
        <v>112</v>
      </c>
      <c r="D59" s="46" t="s">
        <v>154</v>
      </c>
      <c r="E59" s="52" t="s">
        <v>200</v>
      </c>
      <c r="F59" s="51" t="s">
        <v>255</v>
      </c>
      <c r="G59" s="46" t="s">
        <v>292</v>
      </c>
      <c r="H59" s="46">
        <v>48</v>
      </c>
      <c r="I59" s="46">
        <v>50</v>
      </c>
      <c r="J59" s="50">
        <f t="shared" si="0"/>
        <v>4</v>
      </c>
      <c r="K59" s="50">
        <f t="shared" si="1"/>
        <v>4.166666666666667</v>
      </c>
      <c r="L59" s="49">
        <v>1</v>
      </c>
      <c r="M59" s="50">
        <f t="shared" si="2"/>
        <v>16.666666666666668</v>
      </c>
      <c r="N59" s="49">
        <v>0</v>
      </c>
      <c r="O59" s="45">
        <f t="shared" si="3"/>
        <v>0</v>
      </c>
      <c r="P59" s="45">
        <f t="shared" si="4"/>
        <v>0</v>
      </c>
      <c r="Q59" s="45">
        <f t="shared" si="5"/>
        <v>0</v>
      </c>
    </row>
    <row r="60" spans="1:17" x14ac:dyDescent="0.45">
      <c r="A60" s="51">
        <v>62</v>
      </c>
      <c r="B60" s="48" t="s">
        <v>61</v>
      </c>
      <c r="C60" s="49" t="s">
        <v>113</v>
      </c>
      <c r="D60" s="46" t="s">
        <v>156</v>
      </c>
      <c r="E60" s="46" t="s">
        <v>201</v>
      </c>
      <c r="F60" s="51" t="s">
        <v>256</v>
      </c>
      <c r="G60" s="46" t="s">
        <v>42</v>
      </c>
      <c r="H60" s="46">
        <v>48</v>
      </c>
      <c r="I60" s="46">
        <v>120</v>
      </c>
      <c r="J60" s="50">
        <f t="shared" si="0"/>
        <v>4</v>
      </c>
      <c r="K60" s="50">
        <f t="shared" si="1"/>
        <v>10</v>
      </c>
      <c r="L60" s="49">
        <v>1</v>
      </c>
      <c r="M60" s="50">
        <f t="shared" si="2"/>
        <v>40</v>
      </c>
      <c r="N60" s="49">
        <v>0</v>
      </c>
      <c r="O60" s="45">
        <f t="shared" si="3"/>
        <v>0</v>
      </c>
      <c r="P60" s="45">
        <f t="shared" si="4"/>
        <v>0</v>
      </c>
      <c r="Q60" s="45">
        <f t="shared" si="5"/>
        <v>0</v>
      </c>
    </row>
    <row r="61" spans="1:17" x14ac:dyDescent="0.45">
      <c r="A61" s="47">
        <v>63</v>
      </c>
      <c r="B61" s="48" t="s">
        <v>61</v>
      </c>
      <c r="C61" s="49" t="s">
        <v>113</v>
      </c>
      <c r="D61" s="46" t="s">
        <v>156</v>
      </c>
      <c r="E61" s="46" t="s">
        <v>201</v>
      </c>
      <c r="F61" s="51" t="s">
        <v>256</v>
      </c>
      <c r="G61" s="46" t="s">
        <v>292</v>
      </c>
      <c r="H61" s="46">
        <v>63</v>
      </c>
      <c r="I61" s="46">
        <v>35</v>
      </c>
      <c r="J61" s="50">
        <f t="shared" si="0"/>
        <v>5.25</v>
      </c>
      <c r="K61" s="50">
        <f t="shared" si="1"/>
        <v>2.9166666666666665</v>
      </c>
      <c r="L61" s="49">
        <v>1</v>
      </c>
      <c r="M61" s="50">
        <f t="shared" si="2"/>
        <v>15.3125</v>
      </c>
      <c r="N61" s="49">
        <v>0</v>
      </c>
      <c r="O61" s="45">
        <f t="shared" si="3"/>
        <v>0</v>
      </c>
      <c r="P61" s="45">
        <f t="shared" si="4"/>
        <v>0</v>
      </c>
      <c r="Q61" s="45">
        <f t="shared" si="5"/>
        <v>0</v>
      </c>
    </row>
    <row r="62" spans="1:17" x14ac:dyDescent="0.45">
      <c r="A62" s="47">
        <v>64</v>
      </c>
      <c r="B62" s="48" t="s">
        <v>61</v>
      </c>
      <c r="C62" s="49" t="s">
        <v>113</v>
      </c>
      <c r="D62" s="46" t="s">
        <v>156</v>
      </c>
      <c r="E62" s="46" t="s">
        <v>201</v>
      </c>
      <c r="F62" s="51" t="s">
        <v>256</v>
      </c>
      <c r="G62" s="46" t="s">
        <v>42</v>
      </c>
      <c r="H62" s="46">
        <v>95</v>
      </c>
      <c r="I62" s="46">
        <v>29</v>
      </c>
      <c r="J62" s="50">
        <f t="shared" si="0"/>
        <v>7.916666666666667</v>
      </c>
      <c r="K62" s="50">
        <f t="shared" si="1"/>
        <v>2.4166666666666665</v>
      </c>
      <c r="L62" s="49">
        <v>1</v>
      </c>
      <c r="M62" s="50">
        <f t="shared" si="2"/>
        <v>19.131944444444443</v>
      </c>
      <c r="N62" s="49">
        <v>0</v>
      </c>
      <c r="O62" s="45">
        <f t="shared" si="3"/>
        <v>0</v>
      </c>
      <c r="P62" s="45">
        <f t="shared" si="4"/>
        <v>0</v>
      </c>
      <c r="Q62" s="45">
        <f t="shared" si="5"/>
        <v>0</v>
      </c>
    </row>
    <row r="63" spans="1:17" x14ac:dyDescent="0.45">
      <c r="A63" s="51">
        <v>65</v>
      </c>
      <c r="B63" s="48" t="s">
        <v>62</v>
      </c>
      <c r="C63" s="49" t="s">
        <v>114</v>
      </c>
      <c r="D63" s="46" t="s">
        <v>157</v>
      </c>
      <c r="E63" s="46" t="s">
        <v>202</v>
      </c>
      <c r="F63" s="51" t="s">
        <v>257</v>
      </c>
      <c r="G63" s="46" t="s">
        <v>42</v>
      </c>
      <c r="H63" s="46">
        <v>100</v>
      </c>
      <c r="I63" s="46">
        <v>21</v>
      </c>
      <c r="J63" s="50">
        <f t="shared" si="0"/>
        <v>8.3333333333333339</v>
      </c>
      <c r="K63" s="50">
        <f t="shared" si="1"/>
        <v>1.75</v>
      </c>
      <c r="L63" s="49">
        <v>1</v>
      </c>
      <c r="M63" s="50">
        <f t="shared" si="2"/>
        <v>14.583333333333334</v>
      </c>
      <c r="N63" s="49">
        <v>0</v>
      </c>
      <c r="O63" s="45">
        <f t="shared" si="3"/>
        <v>0</v>
      </c>
      <c r="P63" s="45">
        <f t="shared" si="4"/>
        <v>0</v>
      </c>
      <c r="Q63" s="45">
        <f t="shared" si="5"/>
        <v>0</v>
      </c>
    </row>
    <row r="64" spans="1:17" x14ac:dyDescent="0.45">
      <c r="A64" s="47">
        <v>67</v>
      </c>
      <c r="B64" s="48" t="s">
        <v>63</v>
      </c>
      <c r="C64" s="49" t="s">
        <v>115</v>
      </c>
      <c r="D64" s="46" t="s">
        <v>158</v>
      </c>
      <c r="E64" s="46" t="s">
        <v>203</v>
      </c>
      <c r="F64" s="51" t="s">
        <v>258</v>
      </c>
      <c r="G64" s="46" t="s">
        <v>42</v>
      </c>
      <c r="H64" s="46">
        <v>11</v>
      </c>
      <c r="I64" s="46">
        <v>96</v>
      </c>
      <c r="J64" s="50">
        <f t="shared" si="0"/>
        <v>0.91666666666666663</v>
      </c>
      <c r="K64" s="50">
        <f t="shared" si="1"/>
        <v>8</v>
      </c>
      <c r="L64" s="49">
        <v>1</v>
      </c>
      <c r="M64" s="50">
        <f t="shared" si="2"/>
        <v>7.333333333333333</v>
      </c>
      <c r="N64" s="49">
        <v>0</v>
      </c>
      <c r="O64" s="45">
        <f t="shared" si="3"/>
        <v>0</v>
      </c>
      <c r="P64" s="45">
        <f t="shared" si="4"/>
        <v>0</v>
      </c>
      <c r="Q64" s="45">
        <f t="shared" si="5"/>
        <v>0</v>
      </c>
    </row>
    <row r="65" spans="1:17" x14ac:dyDescent="0.45">
      <c r="A65" s="51">
        <v>68</v>
      </c>
      <c r="B65" s="48" t="s">
        <v>63</v>
      </c>
      <c r="C65" s="49" t="s">
        <v>115</v>
      </c>
      <c r="D65" s="46" t="s">
        <v>158</v>
      </c>
      <c r="E65" s="46" t="s">
        <v>203</v>
      </c>
      <c r="F65" s="51" t="s">
        <v>258</v>
      </c>
      <c r="G65" s="46" t="s">
        <v>42</v>
      </c>
      <c r="H65" s="46">
        <v>12</v>
      </c>
      <c r="I65" s="46">
        <v>120</v>
      </c>
      <c r="J65" s="50">
        <f t="shared" si="0"/>
        <v>1</v>
      </c>
      <c r="K65" s="50">
        <f t="shared" si="1"/>
        <v>10</v>
      </c>
      <c r="L65" s="49">
        <v>1</v>
      </c>
      <c r="M65" s="50">
        <f t="shared" si="2"/>
        <v>10</v>
      </c>
      <c r="N65" s="49">
        <v>0</v>
      </c>
      <c r="O65" s="45">
        <f t="shared" si="3"/>
        <v>0</v>
      </c>
      <c r="P65" s="45">
        <f t="shared" si="4"/>
        <v>0</v>
      </c>
      <c r="Q65" s="45">
        <f t="shared" si="5"/>
        <v>0</v>
      </c>
    </row>
    <row r="66" spans="1:17" x14ac:dyDescent="0.45">
      <c r="A66" s="47">
        <v>69</v>
      </c>
      <c r="B66" s="48" t="s">
        <v>63</v>
      </c>
      <c r="C66" s="49" t="s">
        <v>115</v>
      </c>
      <c r="D66" s="46" t="s">
        <v>158</v>
      </c>
      <c r="E66" s="46" t="s">
        <v>203</v>
      </c>
      <c r="F66" s="51" t="s">
        <v>258</v>
      </c>
      <c r="G66" s="46" t="s">
        <v>42</v>
      </c>
      <c r="H66" s="46">
        <v>12</v>
      </c>
      <c r="I66" s="46">
        <v>120</v>
      </c>
      <c r="J66" s="50">
        <f t="shared" si="0"/>
        <v>1</v>
      </c>
      <c r="K66" s="50">
        <f t="shared" si="1"/>
        <v>10</v>
      </c>
      <c r="L66" s="49">
        <v>1</v>
      </c>
      <c r="M66" s="50">
        <f t="shared" si="2"/>
        <v>10</v>
      </c>
      <c r="N66" s="49">
        <v>0</v>
      </c>
      <c r="O66" s="45">
        <f t="shared" si="3"/>
        <v>0</v>
      </c>
      <c r="P66" s="45">
        <f t="shared" si="4"/>
        <v>0</v>
      </c>
      <c r="Q66" s="45">
        <f t="shared" si="5"/>
        <v>0</v>
      </c>
    </row>
    <row r="67" spans="1:17" x14ac:dyDescent="0.45">
      <c r="A67" s="47">
        <v>70</v>
      </c>
      <c r="B67" s="48" t="s">
        <v>63</v>
      </c>
      <c r="C67" s="49" t="s">
        <v>115</v>
      </c>
      <c r="D67" s="46" t="s">
        <v>158</v>
      </c>
      <c r="E67" s="46" t="s">
        <v>203</v>
      </c>
      <c r="F67" s="51" t="s">
        <v>258</v>
      </c>
      <c r="G67" s="46" t="s">
        <v>42</v>
      </c>
      <c r="H67" s="46">
        <v>12</v>
      </c>
      <c r="I67" s="46">
        <v>120</v>
      </c>
      <c r="J67" s="50">
        <f t="shared" ref="J67:J130" si="6">H67/12</f>
        <v>1</v>
      </c>
      <c r="K67" s="50">
        <f t="shared" ref="K67:K130" si="7">I67/12</f>
        <v>10</v>
      </c>
      <c r="L67" s="49">
        <v>1</v>
      </c>
      <c r="M67" s="50">
        <f t="shared" ref="M67:M130" si="8">L67*K67*J67</f>
        <v>10</v>
      </c>
      <c r="N67" s="49">
        <v>0</v>
      </c>
      <c r="O67" s="45">
        <f t="shared" ref="O67:O130" si="9">N67*M67</f>
        <v>0</v>
      </c>
      <c r="P67" s="45">
        <f t="shared" ref="P67:P130" si="10">O67*18%</f>
        <v>0</v>
      </c>
      <c r="Q67" s="45">
        <f t="shared" ref="Q67:Q130" si="11">P67+O67</f>
        <v>0</v>
      </c>
    </row>
    <row r="68" spans="1:17" x14ac:dyDescent="0.45">
      <c r="A68" s="51">
        <v>71</v>
      </c>
      <c r="B68" s="48" t="s">
        <v>63</v>
      </c>
      <c r="C68" s="49" t="s">
        <v>115</v>
      </c>
      <c r="D68" s="46" t="s">
        <v>158</v>
      </c>
      <c r="E68" s="46" t="s">
        <v>203</v>
      </c>
      <c r="F68" s="51" t="s">
        <v>258</v>
      </c>
      <c r="G68" s="46" t="s">
        <v>42</v>
      </c>
      <c r="H68" s="46">
        <v>13</v>
      </c>
      <c r="I68" s="46">
        <v>120</v>
      </c>
      <c r="J68" s="50">
        <f t="shared" si="6"/>
        <v>1.0833333333333333</v>
      </c>
      <c r="K68" s="50">
        <f t="shared" si="7"/>
        <v>10</v>
      </c>
      <c r="L68" s="49">
        <v>1</v>
      </c>
      <c r="M68" s="50">
        <f t="shared" si="8"/>
        <v>10.833333333333332</v>
      </c>
      <c r="N68" s="49">
        <v>0</v>
      </c>
      <c r="O68" s="45">
        <f t="shared" si="9"/>
        <v>0</v>
      </c>
      <c r="P68" s="45">
        <f t="shared" si="10"/>
        <v>0</v>
      </c>
      <c r="Q68" s="45">
        <f t="shared" si="11"/>
        <v>0</v>
      </c>
    </row>
    <row r="69" spans="1:17" x14ac:dyDescent="0.45">
      <c r="A69" s="47">
        <v>72</v>
      </c>
      <c r="B69" s="48" t="s">
        <v>63</v>
      </c>
      <c r="C69" s="49" t="s">
        <v>115</v>
      </c>
      <c r="D69" s="46" t="s">
        <v>158</v>
      </c>
      <c r="E69" s="46" t="s">
        <v>203</v>
      </c>
      <c r="F69" s="51" t="s">
        <v>258</v>
      </c>
      <c r="G69" s="46" t="s">
        <v>42</v>
      </c>
      <c r="H69" s="46">
        <v>16.5</v>
      </c>
      <c r="I69" s="46">
        <v>66</v>
      </c>
      <c r="J69" s="50">
        <f t="shared" si="6"/>
        <v>1.375</v>
      </c>
      <c r="K69" s="50">
        <f t="shared" si="7"/>
        <v>5.5</v>
      </c>
      <c r="L69" s="49">
        <v>1</v>
      </c>
      <c r="M69" s="50">
        <f t="shared" si="8"/>
        <v>7.5625</v>
      </c>
      <c r="N69" s="49">
        <v>0</v>
      </c>
      <c r="O69" s="45">
        <f t="shared" si="9"/>
        <v>0</v>
      </c>
      <c r="P69" s="45">
        <f t="shared" si="10"/>
        <v>0</v>
      </c>
      <c r="Q69" s="45">
        <f t="shared" si="11"/>
        <v>0</v>
      </c>
    </row>
    <row r="70" spans="1:17" x14ac:dyDescent="0.45">
      <c r="A70" s="47">
        <v>73</v>
      </c>
      <c r="B70" s="48" t="s">
        <v>64</v>
      </c>
      <c r="C70" s="49" t="s">
        <v>116</v>
      </c>
      <c r="D70" s="46" t="s">
        <v>159</v>
      </c>
      <c r="E70" s="46" t="s">
        <v>204</v>
      </c>
      <c r="F70" s="51" t="s">
        <v>259</v>
      </c>
      <c r="G70" s="46" t="s">
        <v>42</v>
      </c>
      <c r="H70" s="46">
        <v>100</v>
      </c>
      <c r="I70" s="46">
        <v>36</v>
      </c>
      <c r="J70" s="50">
        <f t="shared" si="6"/>
        <v>8.3333333333333339</v>
      </c>
      <c r="K70" s="50">
        <f t="shared" si="7"/>
        <v>3</v>
      </c>
      <c r="L70" s="49">
        <v>1</v>
      </c>
      <c r="M70" s="50">
        <f t="shared" si="8"/>
        <v>25</v>
      </c>
      <c r="N70" s="49">
        <v>0</v>
      </c>
      <c r="O70" s="45">
        <f t="shared" si="9"/>
        <v>0</v>
      </c>
      <c r="P70" s="45">
        <f t="shared" si="10"/>
        <v>0</v>
      </c>
      <c r="Q70" s="45">
        <f t="shared" si="11"/>
        <v>0</v>
      </c>
    </row>
    <row r="71" spans="1:17" x14ac:dyDescent="0.45">
      <c r="A71" s="51">
        <v>74</v>
      </c>
      <c r="B71" s="48" t="s">
        <v>64</v>
      </c>
      <c r="C71" s="49" t="s">
        <v>116</v>
      </c>
      <c r="D71" s="46" t="s">
        <v>159</v>
      </c>
      <c r="E71" s="46" t="s">
        <v>204</v>
      </c>
      <c r="F71" s="51" t="s">
        <v>259</v>
      </c>
      <c r="G71" s="46" t="s">
        <v>42</v>
      </c>
      <c r="H71" s="46">
        <v>100</v>
      </c>
      <c r="I71" s="46">
        <v>36</v>
      </c>
      <c r="J71" s="50">
        <f t="shared" si="6"/>
        <v>8.3333333333333339</v>
      </c>
      <c r="K71" s="50">
        <f t="shared" si="7"/>
        <v>3</v>
      </c>
      <c r="L71" s="49">
        <v>1</v>
      </c>
      <c r="M71" s="50">
        <f t="shared" si="8"/>
        <v>25</v>
      </c>
      <c r="N71" s="49">
        <v>0</v>
      </c>
      <c r="O71" s="45">
        <f t="shared" si="9"/>
        <v>0</v>
      </c>
      <c r="P71" s="45">
        <f t="shared" si="10"/>
        <v>0</v>
      </c>
      <c r="Q71" s="45">
        <f t="shared" si="11"/>
        <v>0</v>
      </c>
    </row>
    <row r="72" spans="1:17" x14ac:dyDescent="0.45">
      <c r="A72" s="47">
        <v>75</v>
      </c>
      <c r="B72" s="48" t="s">
        <v>64</v>
      </c>
      <c r="C72" s="49" t="s">
        <v>116</v>
      </c>
      <c r="D72" s="46" t="s">
        <v>159</v>
      </c>
      <c r="E72" s="46" t="s">
        <v>204</v>
      </c>
      <c r="F72" s="51" t="s">
        <v>259</v>
      </c>
      <c r="G72" s="46" t="s">
        <v>42</v>
      </c>
      <c r="H72" s="46">
        <v>120</v>
      </c>
      <c r="I72" s="46">
        <v>92</v>
      </c>
      <c r="J72" s="50">
        <f t="shared" si="6"/>
        <v>10</v>
      </c>
      <c r="K72" s="50">
        <f t="shared" si="7"/>
        <v>7.666666666666667</v>
      </c>
      <c r="L72" s="49">
        <v>1</v>
      </c>
      <c r="M72" s="50">
        <f t="shared" si="8"/>
        <v>76.666666666666671</v>
      </c>
      <c r="N72" s="49">
        <v>0</v>
      </c>
      <c r="O72" s="45">
        <f t="shared" si="9"/>
        <v>0</v>
      </c>
      <c r="P72" s="45">
        <f t="shared" si="10"/>
        <v>0</v>
      </c>
      <c r="Q72" s="45">
        <f t="shared" si="11"/>
        <v>0</v>
      </c>
    </row>
    <row r="73" spans="1:17" x14ac:dyDescent="0.45">
      <c r="A73" s="47">
        <v>76</v>
      </c>
      <c r="B73" s="48" t="s">
        <v>64</v>
      </c>
      <c r="C73" s="49" t="s">
        <v>116</v>
      </c>
      <c r="D73" s="46" t="s">
        <v>159</v>
      </c>
      <c r="E73" s="46" t="s">
        <v>204</v>
      </c>
      <c r="F73" s="51" t="s">
        <v>259</v>
      </c>
      <c r="G73" s="46" t="s">
        <v>42</v>
      </c>
      <c r="H73" s="46">
        <v>110</v>
      </c>
      <c r="I73" s="46">
        <v>31</v>
      </c>
      <c r="J73" s="50">
        <f t="shared" si="6"/>
        <v>9.1666666666666661</v>
      </c>
      <c r="K73" s="50">
        <f t="shared" si="7"/>
        <v>2.5833333333333335</v>
      </c>
      <c r="L73" s="49">
        <v>1</v>
      </c>
      <c r="M73" s="50">
        <f t="shared" si="8"/>
        <v>23.680555555555557</v>
      </c>
      <c r="N73" s="49">
        <v>0</v>
      </c>
      <c r="O73" s="45">
        <f t="shared" si="9"/>
        <v>0</v>
      </c>
      <c r="P73" s="45">
        <f t="shared" si="10"/>
        <v>0</v>
      </c>
      <c r="Q73" s="45">
        <f t="shared" si="11"/>
        <v>0</v>
      </c>
    </row>
    <row r="74" spans="1:17" x14ac:dyDescent="0.45">
      <c r="A74" s="51">
        <v>77</v>
      </c>
      <c r="B74" s="48" t="s">
        <v>65</v>
      </c>
      <c r="C74" s="49" t="s">
        <v>117</v>
      </c>
      <c r="D74" s="46" t="s">
        <v>160</v>
      </c>
      <c r="E74" s="46" t="s">
        <v>205</v>
      </c>
      <c r="F74" s="51">
        <v>7568023765</v>
      </c>
      <c r="G74" s="46" t="s">
        <v>290</v>
      </c>
      <c r="H74" s="46">
        <v>43</v>
      </c>
      <c r="I74" s="46">
        <v>25</v>
      </c>
      <c r="J74" s="50">
        <f t="shared" si="6"/>
        <v>3.5833333333333335</v>
      </c>
      <c r="K74" s="50">
        <f t="shared" si="7"/>
        <v>2.0833333333333335</v>
      </c>
      <c r="L74" s="49">
        <v>1</v>
      </c>
      <c r="M74" s="50">
        <f t="shared" si="8"/>
        <v>7.4652777777777786</v>
      </c>
      <c r="N74" s="49">
        <v>0</v>
      </c>
      <c r="O74" s="45">
        <f t="shared" si="9"/>
        <v>0</v>
      </c>
      <c r="P74" s="45">
        <f t="shared" si="10"/>
        <v>0</v>
      </c>
      <c r="Q74" s="45">
        <f t="shared" si="11"/>
        <v>0</v>
      </c>
    </row>
    <row r="75" spans="1:17" x14ac:dyDescent="0.45">
      <c r="A75" s="47">
        <v>78</v>
      </c>
      <c r="B75" s="48" t="s">
        <v>65</v>
      </c>
      <c r="C75" s="49" t="s">
        <v>117</v>
      </c>
      <c r="D75" s="46" t="s">
        <v>160</v>
      </c>
      <c r="E75" s="46" t="s">
        <v>205</v>
      </c>
      <c r="F75" s="51">
        <v>7568023765</v>
      </c>
      <c r="G75" s="46" t="s">
        <v>42</v>
      </c>
      <c r="H75" s="46">
        <v>119</v>
      </c>
      <c r="I75" s="46">
        <v>108</v>
      </c>
      <c r="J75" s="50">
        <f t="shared" si="6"/>
        <v>9.9166666666666661</v>
      </c>
      <c r="K75" s="50">
        <f t="shared" si="7"/>
        <v>9</v>
      </c>
      <c r="L75" s="49">
        <v>1</v>
      </c>
      <c r="M75" s="50">
        <f t="shared" si="8"/>
        <v>89.25</v>
      </c>
      <c r="N75" s="49">
        <v>0</v>
      </c>
      <c r="O75" s="45">
        <f t="shared" si="9"/>
        <v>0</v>
      </c>
      <c r="P75" s="45">
        <f t="shared" si="10"/>
        <v>0</v>
      </c>
      <c r="Q75" s="45">
        <f t="shared" si="11"/>
        <v>0</v>
      </c>
    </row>
    <row r="76" spans="1:17" x14ac:dyDescent="0.45">
      <c r="A76" s="47">
        <v>79</v>
      </c>
      <c r="B76" s="48" t="s">
        <v>66</v>
      </c>
      <c r="C76" s="49" t="s">
        <v>118</v>
      </c>
      <c r="D76" s="46" t="s">
        <v>161</v>
      </c>
      <c r="E76" s="46" t="s">
        <v>206</v>
      </c>
      <c r="F76" s="51" t="s">
        <v>260</v>
      </c>
      <c r="G76" s="46" t="s">
        <v>290</v>
      </c>
      <c r="H76" s="46">
        <v>48</v>
      </c>
      <c r="I76" s="46">
        <v>48</v>
      </c>
      <c r="J76" s="50">
        <f t="shared" si="6"/>
        <v>4</v>
      </c>
      <c r="K76" s="50">
        <f t="shared" si="7"/>
        <v>4</v>
      </c>
      <c r="L76" s="49">
        <v>1</v>
      </c>
      <c r="M76" s="50">
        <f t="shared" si="8"/>
        <v>16</v>
      </c>
      <c r="N76" s="49">
        <v>0</v>
      </c>
      <c r="O76" s="45">
        <f t="shared" si="9"/>
        <v>0</v>
      </c>
      <c r="P76" s="45">
        <f t="shared" si="10"/>
        <v>0</v>
      </c>
      <c r="Q76" s="45">
        <f t="shared" si="11"/>
        <v>0</v>
      </c>
    </row>
    <row r="77" spans="1:17" x14ac:dyDescent="0.45">
      <c r="A77" s="51">
        <v>80</v>
      </c>
      <c r="B77" s="48" t="s">
        <v>67</v>
      </c>
      <c r="C77" s="49" t="s">
        <v>119</v>
      </c>
      <c r="D77" s="46" t="s">
        <v>162</v>
      </c>
      <c r="E77" s="46" t="s">
        <v>207</v>
      </c>
      <c r="F77" s="51" t="s">
        <v>261</v>
      </c>
      <c r="G77" s="46" t="s">
        <v>334</v>
      </c>
      <c r="H77" s="46">
        <v>48</v>
      </c>
      <c r="I77" s="46">
        <v>40</v>
      </c>
      <c r="J77" s="50">
        <f t="shared" si="6"/>
        <v>4</v>
      </c>
      <c r="K77" s="50">
        <f t="shared" si="7"/>
        <v>3.3333333333333335</v>
      </c>
      <c r="L77" s="49">
        <v>1</v>
      </c>
      <c r="M77" s="50">
        <f t="shared" si="8"/>
        <v>13.333333333333334</v>
      </c>
      <c r="N77" s="49">
        <v>0</v>
      </c>
      <c r="O77" s="45">
        <f t="shared" si="9"/>
        <v>0</v>
      </c>
      <c r="P77" s="45">
        <f t="shared" si="10"/>
        <v>0</v>
      </c>
      <c r="Q77" s="45">
        <f t="shared" si="11"/>
        <v>0</v>
      </c>
    </row>
    <row r="78" spans="1:17" x14ac:dyDescent="0.45">
      <c r="A78" s="47">
        <v>81</v>
      </c>
      <c r="B78" s="48" t="s">
        <v>67</v>
      </c>
      <c r="C78" s="49" t="s">
        <v>119</v>
      </c>
      <c r="D78" s="46" t="s">
        <v>162</v>
      </c>
      <c r="E78" s="46" t="s">
        <v>207</v>
      </c>
      <c r="F78" s="51" t="s">
        <v>261</v>
      </c>
      <c r="G78" s="46" t="s">
        <v>290</v>
      </c>
      <c r="H78" s="46">
        <v>49</v>
      </c>
      <c r="I78" s="46">
        <v>36</v>
      </c>
      <c r="J78" s="50">
        <f t="shared" si="6"/>
        <v>4.083333333333333</v>
      </c>
      <c r="K78" s="50">
        <f t="shared" si="7"/>
        <v>3</v>
      </c>
      <c r="L78" s="49">
        <v>1</v>
      </c>
      <c r="M78" s="50">
        <f t="shared" si="8"/>
        <v>12.25</v>
      </c>
      <c r="N78" s="49">
        <v>0</v>
      </c>
      <c r="O78" s="45">
        <f t="shared" si="9"/>
        <v>0</v>
      </c>
      <c r="P78" s="45">
        <f t="shared" si="10"/>
        <v>0</v>
      </c>
      <c r="Q78" s="45">
        <f t="shared" si="11"/>
        <v>0</v>
      </c>
    </row>
    <row r="79" spans="1:17" x14ac:dyDescent="0.45">
      <c r="A79" s="47">
        <v>82</v>
      </c>
      <c r="B79" s="48" t="s">
        <v>68</v>
      </c>
      <c r="C79" s="49" t="s">
        <v>120</v>
      </c>
      <c r="D79" s="46" t="s">
        <v>163</v>
      </c>
      <c r="E79" s="46" t="s">
        <v>208</v>
      </c>
      <c r="F79" s="51" t="s">
        <v>262</v>
      </c>
      <c r="G79" s="46" t="s">
        <v>42</v>
      </c>
      <c r="H79" s="46">
        <v>37</v>
      </c>
      <c r="I79" s="46">
        <v>120</v>
      </c>
      <c r="J79" s="50">
        <f t="shared" si="6"/>
        <v>3.0833333333333335</v>
      </c>
      <c r="K79" s="50">
        <f t="shared" si="7"/>
        <v>10</v>
      </c>
      <c r="L79" s="49">
        <v>1</v>
      </c>
      <c r="M79" s="50">
        <f t="shared" si="8"/>
        <v>30.833333333333336</v>
      </c>
      <c r="N79" s="49">
        <v>0</v>
      </c>
      <c r="O79" s="45">
        <f t="shared" si="9"/>
        <v>0</v>
      </c>
      <c r="P79" s="45">
        <f t="shared" si="10"/>
        <v>0</v>
      </c>
      <c r="Q79" s="45">
        <f t="shared" si="11"/>
        <v>0</v>
      </c>
    </row>
    <row r="80" spans="1:17" x14ac:dyDescent="0.45">
      <c r="A80" s="51">
        <v>83</v>
      </c>
      <c r="B80" s="48" t="s">
        <v>68</v>
      </c>
      <c r="C80" s="49" t="s">
        <v>120</v>
      </c>
      <c r="D80" s="46" t="s">
        <v>163</v>
      </c>
      <c r="E80" s="46" t="s">
        <v>208</v>
      </c>
      <c r="F80" s="51" t="s">
        <v>262</v>
      </c>
      <c r="G80" s="46" t="s">
        <v>42</v>
      </c>
      <c r="H80" s="46">
        <v>46</v>
      </c>
      <c r="I80" s="46">
        <v>32</v>
      </c>
      <c r="J80" s="50">
        <f t="shared" si="6"/>
        <v>3.8333333333333335</v>
      </c>
      <c r="K80" s="50">
        <f t="shared" si="7"/>
        <v>2.6666666666666665</v>
      </c>
      <c r="L80" s="49">
        <v>1</v>
      </c>
      <c r="M80" s="50">
        <f t="shared" si="8"/>
        <v>10.222222222222221</v>
      </c>
      <c r="N80" s="49">
        <v>0</v>
      </c>
      <c r="O80" s="45">
        <f t="shared" si="9"/>
        <v>0</v>
      </c>
      <c r="P80" s="45">
        <f t="shared" si="10"/>
        <v>0</v>
      </c>
      <c r="Q80" s="45">
        <f t="shared" si="11"/>
        <v>0</v>
      </c>
    </row>
    <row r="81" spans="1:17" x14ac:dyDescent="0.45">
      <c r="A81" s="47">
        <v>84</v>
      </c>
      <c r="B81" s="48" t="s">
        <v>68</v>
      </c>
      <c r="C81" s="49" t="s">
        <v>120</v>
      </c>
      <c r="D81" s="46" t="s">
        <v>163</v>
      </c>
      <c r="E81" s="46" t="s">
        <v>208</v>
      </c>
      <c r="F81" s="51" t="s">
        <v>262</v>
      </c>
      <c r="G81" s="46" t="s">
        <v>42</v>
      </c>
      <c r="H81" s="46">
        <v>67</v>
      </c>
      <c r="I81" s="46">
        <v>51</v>
      </c>
      <c r="J81" s="50">
        <f t="shared" si="6"/>
        <v>5.583333333333333</v>
      </c>
      <c r="K81" s="50">
        <f t="shared" si="7"/>
        <v>4.25</v>
      </c>
      <c r="L81" s="49">
        <v>1</v>
      </c>
      <c r="M81" s="50">
        <f t="shared" si="8"/>
        <v>23.729166666666664</v>
      </c>
      <c r="N81" s="49">
        <v>0</v>
      </c>
      <c r="O81" s="45">
        <f t="shared" si="9"/>
        <v>0</v>
      </c>
      <c r="P81" s="45">
        <f t="shared" si="10"/>
        <v>0</v>
      </c>
      <c r="Q81" s="45">
        <f t="shared" si="11"/>
        <v>0</v>
      </c>
    </row>
    <row r="82" spans="1:17" x14ac:dyDescent="0.45">
      <c r="A82" s="47">
        <v>85</v>
      </c>
      <c r="B82" s="48" t="s">
        <v>68</v>
      </c>
      <c r="C82" s="49" t="s">
        <v>120</v>
      </c>
      <c r="D82" s="46" t="s">
        <v>163</v>
      </c>
      <c r="E82" s="46" t="s">
        <v>208</v>
      </c>
      <c r="F82" s="51" t="s">
        <v>262</v>
      </c>
      <c r="G82" s="46" t="s">
        <v>290</v>
      </c>
      <c r="H82" s="46">
        <v>70</v>
      </c>
      <c r="I82" s="46">
        <v>36</v>
      </c>
      <c r="J82" s="50">
        <f t="shared" si="6"/>
        <v>5.833333333333333</v>
      </c>
      <c r="K82" s="50">
        <f t="shared" si="7"/>
        <v>3</v>
      </c>
      <c r="L82" s="49">
        <v>1</v>
      </c>
      <c r="M82" s="50">
        <f t="shared" si="8"/>
        <v>17.5</v>
      </c>
      <c r="N82" s="49">
        <v>0</v>
      </c>
      <c r="O82" s="45">
        <f t="shared" si="9"/>
        <v>0</v>
      </c>
      <c r="P82" s="45">
        <f t="shared" si="10"/>
        <v>0</v>
      </c>
      <c r="Q82" s="45">
        <f t="shared" si="11"/>
        <v>0</v>
      </c>
    </row>
    <row r="83" spans="1:17" x14ac:dyDescent="0.45">
      <c r="A83" s="51">
        <v>86</v>
      </c>
      <c r="B83" s="48" t="s">
        <v>69</v>
      </c>
      <c r="C83" s="53" t="s">
        <v>121</v>
      </c>
      <c r="D83" s="46" t="s">
        <v>164</v>
      </c>
      <c r="E83" s="46" t="s">
        <v>209</v>
      </c>
      <c r="F83" s="51" t="s">
        <v>263</v>
      </c>
      <c r="G83" s="46" t="s">
        <v>42</v>
      </c>
      <c r="H83" s="46">
        <v>17</v>
      </c>
      <c r="I83" s="46">
        <v>118</v>
      </c>
      <c r="J83" s="50">
        <f t="shared" si="6"/>
        <v>1.4166666666666667</v>
      </c>
      <c r="K83" s="50">
        <f t="shared" si="7"/>
        <v>9.8333333333333339</v>
      </c>
      <c r="L83" s="49">
        <v>1</v>
      </c>
      <c r="M83" s="50">
        <f t="shared" si="8"/>
        <v>13.930555555555557</v>
      </c>
      <c r="N83" s="49">
        <v>0</v>
      </c>
      <c r="O83" s="45">
        <f t="shared" si="9"/>
        <v>0</v>
      </c>
      <c r="P83" s="45">
        <f t="shared" si="10"/>
        <v>0</v>
      </c>
      <c r="Q83" s="45">
        <f t="shared" si="11"/>
        <v>0</v>
      </c>
    </row>
    <row r="84" spans="1:17" x14ac:dyDescent="0.45">
      <c r="A84" s="47">
        <v>87</v>
      </c>
      <c r="B84" s="48" t="s">
        <v>69</v>
      </c>
      <c r="C84" s="53" t="s">
        <v>121</v>
      </c>
      <c r="D84" s="46" t="s">
        <v>164</v>
      </c>
      <c r="E84" s="46" t="s">
        <v>209</v>
      </c>
      <c r="F84" s="51" t="s">
        <v>263</v>
      </c>
      <c r="G84" s="46" t="s">
        <v>42</v>
      </c>
      <c r="H84" s="46">
        <v>96</v>
      </c>
      <c r="I84" s="46">
        <v>27</v>
      </c>
      <c r="J84" s="50">
        <f t="shared" si="6"/>
        <v>8</v>
      </c>
      <c r="K84" s="50">
        <f t="shared" si="7"/>
        <v>2.25</v>
      </c>
      <c r="L84" s="49">
        <v>1</v>
      </c>
      <c r="M84" s="50">
        <f t="shared" si="8"/>
        <v>18</v>
      </c>
      <c r="N84" s="49">
        <v>0</v>
      </c>
      <c r="O84" s="45">
        <f t="shared" si="9"/>
        <v>0</v>
      </c>
      <c r="P84" s="45">
        <f t="shared" si="10"/>
        <v>0</v>
      </c>
      <c r="Q84" s="45">
        <f t="shared" si="11"/>
        <v>0</v>
      </c>
    </row>
    <row r="85" spans="1:17" x14ac:dyDescent="0.45">
      <c r="A85" s="47">
        <v>88</v>
      </c>
      <c r="B85" s="48" t="s">
        <v>70</v>
      </c>
      <c r="C85" s="53" t="s">
        <v>122</v>
      </c>
      <c r="D85" s="46" t="s">
        <v>158</v>
      </c>
      <c r="E85" s="46" t="s">
        <v>210</v>
      </c>
      <c r="F85" s="51" t="s">
        <v>264</v>
      </c>
      <c r="G85" s="46" t="s">
        <v>334</v>
      </c>
      <c r="H85" s="46">
        <v>95</v>
      </c>
      <c r="I85" s="46">
        <v>40</v>
      </c>
      <c r="J85" s="50">
        <f t="shared" si="6"/>
        <v>7.916666666666667</v>
      </c>
      <c r="K85" s="50">
        <f t="shared" si="7"/>
        <v>3.3333333333333335</v>
      </c>
      <c r="L85" s="49">
        <v>1</v>
      </c>
      <c r="M85" s="50">
        <f t="shared" si="8"/>
        <v>26.388888888888889</v>
      </c>
      <c r="N85" s="49">
        <v>0</v>
      </c>
      <c r="O85" s="45">
        <f t="shared" si="9"/>
        <v>0</v>
      </c>
      <c r="P85" s="45">
        <f t="shared" si="10"/>
        <v>0</v>
      </c>
      <c r="Q85" s="45">
        <f t="shared" si="11"/>
        <v>0</v>
      </c>
    </row>
    <row r="86" spans="1:17" x14ac:dyDescent="0.45">
      <c r="A86" s="51">
        <v>89</v>
      </c>
      <c r="B86" s="48" t="s">
        <v>70</v>
      </c>
      <c r="C86" s="53" t="s">
        <v>122</v>
      </c>
      <c r="D86" s="46" t="s">
        <v>158</v>
      </c>
      <c r="E86" s="46" t="s">
        <v>210</v>
      </c>
      <c r="F86" s="51" t="s">
        <v>264</v>
      </c>
      <c r="G86" s="46" t="s">
        <v>42</v>
      </c>
      <c r="H86" s="46">
        <v>106</v>
      </c>
      <c r="I86" s="46">
        <v>15</v>
      </c>
      <c r="J86" s="50">
        <f t="shared" si="6"/>
        <v>8.8333333333333339</v>
      </c>
      <c r="K86" s="50">
        <f t="shared" si="7"/>
        <v>1.25</v>
      </c>
      <c r="L86" s="49">
        <v>1</v>
      </c>
      <c r="M86" s="50">
        <f t="shared" si="8"/>
        <v>11.041666666666668</v>
      </c>
      <c r="N86" s="49">
        <v>0</v>
      </c>
      <c r="O86" s="45">
        <f t="shared" si="9"/>
        <v>0</v>
      </c>
      <c r="P86" s="45">
        <f t="shared" si="10"/>
        <v>0</v>
      </c>
      <c r="Q86" s="45">
        <f t="shared" si="11"/>
        <v>0</v>
      </c>
    </row>
    <row r="87" spans="1:17" x14ac:dyDescent="0.45">
      <c r="A87" s="47">
        <v>90</v>
      </c>
      <c r="B87" s="48" t="s">
        <v>70</v>
      </c>
      <c r="C87" s="53" t="s">
        <v>122</v>
      </c>
      <c r="D87" s="46" t="s">
        <v>158</v>
      </c>
      <c r="E87" s="46" t="s">
        <v>210</v>
      </c>
      <c r="F87" s="51" t="s">
        <v>264</v>
      </c>
      <c r="G87" s="46" t="s">
        <v>42</v>
      </c>
      <c r="H87" s="46">
        <v>127</v>
      </c>
      <c r="I87" s="46">
        <v>15</v>
      </c>
      <c r="J87" s="50">
        <f t="shared" si="6"/>
        <v>10.583333333333334</v>
      </c>
      <c r="K87" s="50">
        <f t="shared" si="7"/>
        <v>1.25</v>
      </c>
      <c r="L87" s="49">
        <v>1</v>
      </c>
      <c r="M87" s="50">
        <f t="shared" si="8"/>
        <v>13.229166666666668</v>
      </c>
      <c r="N87" s="49">
        <v>0</v>
      </c>
      <c r="O87" s="45">
        <f t="shared" si="9"/>
        <v>0</v>
      </c>
      <c r="P87" s="45">
        <f t="shared" si="10"/>
        <v>0</v>
      </c>
      <c r="Q87" s="45">
        <f t="shared" si="11"/>
        <v>0</v>
      </c>
    </row>
    <row r="88" spans="1:17" x14ac:dyDescent="0.45">
      <c r="A88" s="47">
        <v>91</v>
      </c>
      <c r="B88" s="48" t="s">
        <v>70</v>
      </c>
      <c r="C88" s="53" t="s">
        <v>122</v>
      </c>
      <c r="D88" s="46" t="s">
        <v>158</v>
      </c>
      <c r="E88" s="46" t="s">
        <v>210</v>
      </c>
      <c r="F88" s="51" t="s">
        <v>264</v>
      </c>
      <c r="G88" s="46" t="s">
        <v>42</v>
      </c>
      <c r="H88" s="46">
        <v>127</v>
      </c>
      <c r="I88" s="46">
        <v>15</v>
      </c>
      <c r="J88" s="50">
        <f t="shared" si="6"/>
        <v>10.583333333333334</v>
      </c>
      <c r="K88" s="50">
        <f t="shared" si="7"/>
        <v>1.25</v>
      </c>
      <c r="L88" s="49">
        <v>1</v>
      </c>
      <c r="M88" s="50">
        <f t="shared" si="8"/>
        <v>13.229166666666668</v>
      </c>
      <c r="N88" s="49">
        <v>0</v>
      </c>
      <c r="O88" s="45">
        <f t="shared" si="9"/>
        <v>0</v>
      </c>
      <c r="P88" s="45">
        <f t="shared" si="10"/>
        <v>0</v>
      </c>
      <c r="Q88" s="45">
        <f t="shared" si="11"/>
        <v>0</v>
      </c>
    </row>
    <row r="89" spans="1:17" x14ac:dyDescent="0.45">
      <c r="A89" s="51">
        <v>92</v>
      </c>
      <c r="B89" s="48" t="s">
        <v>70</v>
      </c>
      <c r="C89" s="53" t="s">
        <v>122</v>
      </c>
      <c r="D89" s="46" t="s">
        <v>158</v>
      </c>
      <c r="E89" s="46" t="s">
        <v>210</v>
      </c>
      <c r="F89" s="51" t="s">
        <v>264</v>
      </c>
      <c r="G89" s="46" t="s">
        <v>290</v>
      </c>
      <c r="H89" s="46">
        <v>156</v>
      </c>
      <c r="I89" s="46">
        <v>27</v>
      </c>
      <c r="J89" s="50">
        <f t="shared" si="6"/>
        <v>13</v>
      </c>
      <c r="K89" s="50">
        <f t="shared" si="7"/>
        <v>2.25</v>
      </c>
      <c r="L89" s="49">
        <v>1</v>
      </c>
      <c r="M89" s="50">
        <f t="shared" si="8"/>
        <v>29.25</v>
      </c>
      <c r="N89" s="49">
        <v>0</v>
      </c>
      <c r="O89" s="45">
        <f t="shared" si="9"/>
        <v>0</v>
      </c>
      <c r="P89" s="45">
        <f t="shared" si="10"/>
        <v>0</v>
      </c>
      <c r="Q89" s="45">
        <f t="shared" si="11"/>
        <v>0</v>
      </c>
    </row>
    <row r="90" spans="1:17" x14ac:dyDescent="0.45">
      <c r="A90" s="47">
        <v>93</v>
      </c>
      <c r="B90" s="48" t="s">
        <v>71</v>
      </c>
      <c r="C90" s="53" t="s">
        <v>123</v>
      </c>
      <c r="D90" s="46" t="s">
        <v>165</v>
      </c>
      <c r="E90" s="46" t="s">
        <v>211</v>
      </c>
      <c r="F90" s="51" t="s">
        <v>265</v>
      </c>
      <c r="G90" s="46" t="s">
        <v>290</v>
      </c>
      <c r="H90" s="46">
        <v>37</v>
      </c>
      <c r="I90" s="46">
        <v>40</v>
      </c>
      <c r="J90" s="50">
        <f t="shared" si="6"/>
        <v>3.0833333333333335</v>
      </c>
      <c r="K90" s="50">
        <f t="shared" si="7"/>
        <v>3.3333333333333335</v>
      </c>
      <c r="L90" s="49">
        <v>1</v>
      </c>
      <c r="M90" s="50">
        <f t="shared" si="8"/>
        <v>10.277777777777779</v>
      </c>
      <c r="N90" s="49">
        <v>0</v>
      </c>
      <c r="O90" s="45">
        <f t="shared" si="9"/>
        <v>0</v>
      </c>
      <c r="P90" s="45">
        <f t="shared" si="10"/>
        <v>0</v>
      </c>
      <c r="Q90" s="45">
        <f t="shared" si="11"/>
        <v>0</v>
      </c>
    </row>
    <row r="91" spans="1:17" x14ac:dyDescent="0.45">
      <c r="A91" s="47">
        <v>94</v>
      </c>
      <c r="B91" s="48" t="s">
        <v>71</v>
      </c>
      <c r="C91" s="53" t="s">
        <v>123</v>
      </c>
      <c r="D91" s="46" t="s">
        <v>165</v>
      </c>
      <c r="E91" s="46" t="s">
        <v>211</v>
      </c>
      <c r="F91" s="51" t="s">
        <v>265</v>
      </c>
      <c r="G91" s="46" t="s">
        <v>334</v>
      </c>
      <c r="H91" s="46">
        <v>48</v>
      </c>
      <c r="I91" s="46">
        <v>40</v>
      </c>
      <c r="J91" s="50">
        <f t="shared" si="6"/>
        <v>4</v>
      </c>
      <c r="K91" s="50">
        <f t="shared" si="7"/>
        <v>3.3333333333333335</v>
      </c>
      <c r="L91" s="49">
        <v>1</v>
      </c>
      <c r="M91" s="50">
        <f t="shared" si="8"/>
        <v>13.333333333333334</v>
      </c>
      <c r="N91" s="49">
        <v>0</v>
      </c>
      <c r="O91" s="45">
        <f t="shared" si="9"/>
        <v>0</v>
      </c>
      <c r="P91" s="45">
        <f t="shared" si="10"/>
        <v>0</v>
      </c>
      <c r="Q91" s="45">
        <f t="shared" si="11"/>
        <v>0</v>
      </c>
    </row>
    <row r="92" spans="1:17" x14ac:dyDescent="0.45">
      <c r="A92" s="51">
        <v>95</v>
      </c>
      <c r="B92" s="48" t="s">
        <v>71</v>
      </c>
      <c r="C92" s="53" t="s">
        <v>123</v>
      </c>
      <c r="D92" s="46" t="s">
        <v>165</v>
      </c>
      <c r="E92" s="46" t="s">
        <v>211</v>
      </c>
      <c r="F92" s="51" t="s">
        <v>265</v>
      </c>
      <c r="G92" s="46" t="s">
        <v>42</v>
      </c>
      <c r="H92" s="46">
        <v>108</v>
      </c>
      <c r="I92" s="46">
        <v>34</v>
      </c>
      <c r="J92" s="50">
        <f t="shared" si="6"/>
        <v>9</v>
      </c>
      <c r="K92" s="50">
        <f t="shared" si="7"/>
        <v>2.8333333333333335</v>
      </c>
      <c r="L92" s="49">
        <v>1</v>
      </c>
      <c r="M92" s="50">
        <f t="shared" si="8"/>
        <v>25.5</v>
      </c>
      <c r="N92" s="49">
        <v>0</v>
      </c>
      <c r="O92" s="45">
        <f t="shared" si="9"/>
        <v>0</v>
      </c>
      <c r="P92" s="45">
        <f t="shared" si="10"/>
        <v>0</v>
      </c>
      <c r="Q92" s="45">
        <f t="shared" si="11"/>
        <v>0</v>
      </c>
    </row>
    <row r="93" spans="1:17" x14ac:dyDescent="0.45">
      <c r="A93" s="47">
        <v>96</v>
      </c>
      <c r="B93" s="48" t="s">
        <v>72</v>
      </c>
      <c r="C93" s="53" t="s">
        <v>124</v>
      </c>
      <c r="D93" s="46" t="s">
        <v>158</v>
      </c>
      <c r="E93" s="46" t="s">
        <v>212</v>
      </c>
      <c r="F93" s="51" t="s">
        <v>266</v>
      </c>
      <c r="G93" s="46" t="s">
        <v>42</v>
      </c>
      <c r="H93" s="46">
        <v>17</v>
      </c>
      <c r="I93" s="46">
        <v>108</v>
      </c>
      <c r="J93" s="50">
        <f t="shared" si="6"/>
        <v>1.4166666666666667</v>
      </c>
      <c r="K93" s="50">
        <f t="shared" si="7"/>
        <v>9</v>
      </c>
      <c r="L93" s="49">
        <v>1</v>
      </c>
      <c r="M93" s="50">
        <f t="shared" si="8"/>
        <v>12.75</v>
      </c>
      <c r="N93" s="49">
        <v>0</v>
      </c>
      <c r="O93" s="45">
        <f t="shared" si="9"/>
        <v>0</v>
      </c>
      <c r="P93" s="45">
        <f t="shared" si="10"/>
        <v>0</v>
      </c>
      <c r="Q93" s="45">
        <f t="shared" si="11"/>
        <v>0</v>
      </c>
    </row>
    <row r="94" spans="1:17" x14ac:dyDescent="0.45">
      <c r="A94" s="47">
        <v>97</v>
      </c>
      <c r="B94" s="48" t="s">
        <v>72</v>
      </c>
      <c r="C94" s="53" t="s">
        <v>124</v>
      </c>
      <c r="D94" s="46" t="s">
        <v>158</v>
      </c>
      <c r="E94" s="46" t="s">
        <v>212</v>
      </c>
      <c r="F94" s="51" t="s">
        <v>266</v>
      </c>
      <c r="G94" s="46" t="s">
        <v>42</v>
      </c>
      <c r="H94" s="46">
        <v>20</v>
      </c>
      <c r="I94" s="46">
        <v>108</v>
      </c>
      <c r="J94" s="50">
        <f t="shared" si="6"/>
        <v>1.6666666666666667</v>
      </c>
      <c r="K94" s="50">
        <f t="shared" si="7"/>
        <v>9</v>
      </c>
      <c r="L94" s="49">
        <v>1</v>
      </c>
      <c r="M94" s="50">
        <f t="shared" si="8"/>
        <v>15</v>
      </c>
      <c r="N94" s="49">
        <v>0</v>
      </c>
      <c r="O94" s="45">
        <f t="shared" si="9"/>
        <v>0</v>
      </c>
      <c r="P94" s="45">
        <f t="shared" si="10"/>
        <v>0</v>
      </c>
      <c r="Q94" s="45">
        <f t="shared" si="11"/>
        <v>0</v>
      </c>
    </row>
    <row r="95" spans="1:17" x14ac:dyDescent="0.45">
      <c r="A95" s="51">
        <v>98</v>
      </c>
      <c r="B95" s="48" t="s">
        <v>72</v>
      </c>
      <c r="C95" s="53" t="s">
        <v>124</v>
      </c>
      <c r="D95" s="46" t="s">
        <v>158</v>
      </c>
      <c r="E95" s="46" t="s">
        <v>212</v>
      </c>
      <c r="F95" s="51" t="s">
        <v>266</v>
      </c>
      <c r="G95" s="46" t="s">
        <v>290</v>
      </c>
      <c r="H95" s="46">
        <v>51</v>
      </c>
      <c r="I95" s="46">
        <v>44</v>
      </c>
      <c r="J95" s="50">
        <f t="shared" si="6"/>
        <v>4.25</v>
      </c>
      <c r="K95" s="50">
        <f t="shared" si="7"/>
        <v>3.6666666666666665</v>
      </c>
      <c r="L95" s="49">
        <v>1</v>
      </c>
      <c r="M95" s="50">
        <f t="shared" si="8"/>
        <v>15.583333333333332</v>
      </c>
      <c r="N95" s="49">
        <v>0</v>
      </c>
      <c r="O95" s="45">
        <f t="shared" si="9"/>
        <v>0</v>
      </c>
      <c r="P95" s="45">
        <f t="shared" si="10"/>
        <v>0</v>
      </c>
      <c r="Q95" s="45">
        <f t="shared" si="11"/>
        <v>0</v>
      </c>
    </row>
    <row r="96" spans="1:17" x14ac:dyDescent="0.45">
      <c r="A96" s="47">
        <v>99</v>
      </c>
      <c r="B96" s="48" t="s">
        <v>73</v>
      </c>
      <c r="C96" s="53" t="s">
        <v>125</v>
      </c>
      <c r="D96" s="46" t="s">
        <v>161</v>
      </c>
      <c r="E96" s="46" t="s">
        <v>213</v>
      </c>
      <c r="F96" s="46" t="s">
        <v>267</v>
      </c>
      <c r="G96" s="46" t="s">
        <v>42</v>
      </c>
      <c r="H96" s="38">
        <v>72</v>
      </c>
      <c r="I96" s="38">
        <v>28</v>
      </c>
      <c r="J96" s="50">
        <f t="shared" si="6"/>
        <v>6</v>
      </c>
      <c r="K96" s="50">
        <f t="shared" si="7"/>
        <v>2.3333333333333335</v>
      </c>
      <c r="L96" s="49">
        <v>1</v>
      </c>
      <c r="M96" s="50">
        <f t="shared" si="8"/>
        <v>14</v>
      </c>
      <c r="N96" s="49">
        <v>0</v>
      </c>
      <c r="O96" s="45">
        <f t="shared" si="9"/>
        <v>0</v>
      </c>
      <c r="P96" s="45">
        <f t="shared" si="10"/>
        <v>0</v>
      </c>
      <c r="Q96" s="45">
        <f t="shared" si="11"/>
        <v>0</v>
      </c>
    </row>
    <row r="97" spans="1:17" x14ac:dyDescent="0.45">
      <c r="A97" s="47">
        <v>100</v>
      </c>
      <c r="B97" s="48" t="s">
        <v>73</v>
      </c>
      <c r="C97" s="53" t="s">
        <v>125</v>
      </c>
      <c r="D97" s="46" t="s">
        <v>161</v>
      </c>
      <c r="E97" s="46" t="s">
        <v>213</v>
      </c>
      <c r="F97" s="46" t="s">
        <v>267</v>
      </c>
      <c r="G97" s="46" t="s">
        <v>42</v>
      </c>
      <c r="H97" s="38">
        <v>92</v>
      </c>
      <c r="I97" s="38">
        <v>43</v>
      </c>
      <c r="J97" s="50">
        <f t="shared" si="6"/>
        <v>7.666666666666667</v>
      </c>
      <c r="K97" s="50">
        <f t="shared" si="7"/>
        <v>3.5833333333333335</v>
      </c>
      <c r="L97" s="49">
        <v>1</v>
      </c>
      <c r="M97" s="50">
        <f t="shared" si="8"/>
        <v>27.472222222222225</v>
      </c>
      <c r="N97" s="49">
        <v>0</v>
      </c>
      <c r="O97" s="45">
        <f t="shared" si="9"/>
        <v>0</v>
      </c>
      <c r="P97" s="45">
        <f t="shared" si="10"/>
        <v>0</v>
      </c>
      <c r="Q97" s="45">
        <f t="shared" si="11"/>
        <v>0</v>
      </c>
    </row>
    <row r="98" spans="1:17" x14ac:dyDescent="0.45">
      <c r="A98" s="47">
        <v>102</v>
      </c>
      <c r="B98" s="48" t="s">
        <v>74</v>
      </c>
      <c r="C98" s="53" t="s">
        <v>126</v>
      </c>
      <c r="D98" s="46" t="s">
        <v>166</v>
      </c>
      <c r="E98" s="46" t="s">
        <v>214</v>
      </c>
      <c r="F98" s="51" t="s">
        <v>268</v>
      </c>
      <c r="G98" s="46" t="s">
        <v>42</v>
      </c>
      <c r="H98" s="46">
        <v>16</v>
      </c>
      <c r="I98" s="46">
        <v>88</v>
      </c>
      <c r="J98" s="50">
        <f t="shared" si="6"/>
        <v>1.3333333333333333</v>
      </c>
      <c r="K98" s="50">
        <f t="shared" si="7"/>
        <v>7.333333333333333</v>
      </c>
      <c r="L98" s="49">
        <v>1</v>
      </c>
      <c r="M98" s="50">
        <f t="shared" si="8"/>
        <v>9.7777777777777768</v>
      </c>
      <c r="N98" s="49">
        <v>0</v>
      </c>
      <c r="O98" s="45">
        <f t="shared" si="9"/>
        <v>0</v>
      </c>
      <c r="P98" s="45">
        <f t="shared" si="10"/>
        <v>0</v>
      </c>
      <c r="Q98" s="45">
        <f t="shared" si="11"/>
        <v>0</v>
      </c>
    </row>
    <row r="99" spans="1:17" x14ac:dyDescent="0.45">
      <c r="A99" s="47">
        <v>103</v>
      </c>
      <c r="B99" s="48" t="s">
        <v>74</v>
      </c>
      <c r="C99" s="53" t="s">
        <v>126</v>
      </c>
      <c r="D99" s="46" t="s">
        <v>166</v>
      </c>
      <c r="E99" s="46" t="s">
        <v>214</v>
      </c>
      <c r="F99" s="51" t="s">
        <v>268</v>
      </c>
      <c r="G99" s="46" t="s">
        <v>42</v>
      </c>
      <c r="H99" s="46">
        <v>22</v>
      </c>
      <c r="I99" s="46">
        <v>86</v>
      </c>
      <c r="J99" s="50">
        <f t="shared" si="6"/>
        <v>1.8333333333333333</v>
      </c>
      <c r="K99" s="50">
        <f t="shared" si="7"/>
        <v>7.166666666666667</v>
      </c>
      <c r="L99" s="49">
        <v>1</v>
      </c>
      <c r="M99" s="50">
        <f t="shared" si="8"/>
        <v>13.138888888888889</v>
      </c>
      <c r="N99" s="49">
        <v>0</v>
      </c>
      <c r="O99" s="45">
        <f t="shared" si="9"/>
        <v>0</v>
      </c>
      <c r="P99" s="45">
        <f t="shared" si="10"/>
        <v>0</v>
      </c>
      <c r="Q99" s="45">
        <f t="shared" si="11"/>
        <v>0</v>
      </c>
    </row>
    <row r="100" spans="1:17" x14ac:dyDescent="0.45">
      <c r="A100" s="51">
        <v>104</v>
      </c>
      <c r="B100" s="48" t="s">
        <v>74</v>
      </c>
      <c r="C100" s="53" t="s">
        <v>126</v>
      </c>
      <c r="D100" s="46" t="s">
        <v>166</v>
      </c>
      <c r="E100" s="46" t="s">
        <v>214</v>
      </c>
      <c r="F100" s="51" t="s">
        <v>268</v>
      </c>
      <c r="G100" s="46" t="s">
        <v>42</v>
      </c>
      <c r="H100" s="46">
        <v>26</v>
      </c>
      <c r="I100" s="46">
        <v>36</v>
      </c>
      <c r="J100" s="50">
        <f t="shared" si="6"/>
        <v>2.1666666666666665</v>
      </c>
      <c r="K100" s="50">
        <f t="shared" si="7"/>
        <v>3</v>
      </c>
      <c r="L100" s="49">
        <v>1</v>
      </c>
      <c r="M100" s="50">
        <f t="shared" si="8"/>
        <v>6.5</v>
      </c>
      <c r="N100" s="49">
        <v>0</v>
      </c>
      <c r="O100" s="45">
        <f t="shared" si="9"/>
        <v>0</v>
      </c>
      <c r="P100" s="45">
        <f t="shared" si="10"/>
        <v>0</v>
      </c>
      <c r="Q100" s="45">
        <f t="shared" si="11"/>
        <v>0</v>
      </c>
    </row>
    <row r="101" spans="1:17" x14ac:dyDescent="0.45">
      <c r="A101" s="47">
        <v>105</v>
      </c>
      <c r="B101" s="48" t="s">
        <v>74</v>
      </c>
      <c r="C101" s="53" t="s">
        <v>126</v>
      </c>
      <c r="D101" s="46" t="s">
        <v>166</v>
      </c>
      <c r="E101" s="46" t="s">
        <v>214</v>
      </c>
      <c r="F101" s="51" t="s">
        <v>268</v>
      </c>
      <c r="G101" s="46" t="s">
        <v>42</v>
      </c>
      <c r="H101" s="46">
        <v>59</v>
      </c>
      <c r="I101" s="46">
        <v>70</v>
      </c>
      <c r="J101" s="50">
        <f t="shared" si="6"/>
        <v>4.916666666666667</v>
      </c>
      <c r="K101" s="50">
        <f t="shared" si="7"/>
        <v>5.833333333333333</v>
      </c>
      <c r="L101" s="49">
        <v>1</v>
      </c>
      <c r="M101" s="50">
        <f t="shared" si="8"/>
        <v>28.680555555555557</v>
      </c>
      <c r="N101" s="49">
        <v>0</v>
      </c>
      <c r="O101" s="45">
        <f t="shared" si="9"/>
        <v>0</v>
      </c>
      <c r="P101" s="45">
        <f t="shared" si="10"/>
        <v>0</v>
      </c>
      <c r="Q101" s="45">
        <f t="shared" si="11"/>
        <v>0</v>
      </c>
    </row>
    <row r="102" spans="1:17" x14ac:dyDescent="0.45">
      <c r="A102" s="47">
        <v>106</v>
      </c>
      <c r="B102" s="48" t="s">
        <v>75</v>
      </c>
      <c r="C102" s="53" t="s">
        <v>127</v>
      </c>
      <c r="D102" s="46" t="s">
        <v>167</v>
      </c>
      <c r="E102" s="46" t="s">
        <v>215</v>
      </c>
      <c r="F102" s="51" t="s">
        <v>269</v>
      </c>
      <c r="G102" s="46" t="s">
        <v>42</v>
      </c>
      <c r="H102" s="46">
        <v>17</v>
      </c>
      <c r="I102" s="46">
        <v>80</v>
      </c>
      <c r="J102" s="50">
        <f t="shared" si="6"/>
        <v>1.4166666666666667</v>
      </c>
      <c r="K102" s="50">
        <f t="shared" si="7"/>
        <v>6.666666666666667</v>
      </c>
      <c r="L102" s="49">
        <v>1</v>
      </c>
      <c r="M102" s="50">
        <f t="shared" si="8"/>
        <v>9.4444444444444446</v>
      </c>
      <c r="N102" s="49">
        <v>0</v>
      </c>
      <c r="O102" s="45">
        <f t="shared" si="9"/>
        <v>0</v>
      </c>
      <c r="P102" s="45">
        <f t="shared" si="10"/>
        <v>0</v>
      </c>
      <c r="Q102" s="45">
        <f t="shared" si="11"/>
        <v>0</v>
      </c>
    </row>
    <row r="103" spans="1:17" x14ac:dyDescent="0.45">
      <c r="A103" s="51">
        <v>107</v>
      </c>
      <c r="B103" s="48" t="s">
        <v>75</v>
      </c>
      <c r="C103" s="53" t="s">
        <v>127</v>
      </c>
      <c r="D103" s="46" t="s">
        <v>167</v>
      </c>
      <c r="E103" s="46" t="s">
        <v>215</v>
      </c>
      <c r="F103" s="51" t="s">
        <v>269</v>
      </c>
      <c r="G103" s="46" t="s">
        <v>42</v>
      </c>
      <c r="H103" s="46">
        <v>17</v>
      </c>
      <c r="I103" s="46">
        <v>80</v>
      </c>
      <c r="J103" s="50">
        <f t="shared" si="6"/>
        <v>1.4166666666666667</v>
      </c>
      <c r="K103" s="50">
        <f t="shared" si="7"/>
        <v>6.666666666666667</v>
      </c>
      <c r="L103" s="49">
        <v>1</v>
      </c>
      <c r="M103" s="50">
        <f t="shared" si="8"/>
        <v>9.4444444444444446</v>
      </c>
      <c r="N103" s="49">
        <v>0</v>
      </c>
      <c r="O103" s="45">
        <f t="shared" si="9"/>
        <v>0</v>
      </c>
      <c r="P103" s="45">
        <f t="shared" si="10"/>
        <v>0</v>
      </c>
      <c r="Q103" s="45">
        <f t="shared" si="11"/>
        <v>0</v>
      </c>
    </row>
    <row r="104" spans="1:17" x14ac:dyDescent="0.45">
      <c r="A104" s="47">
        <v>108</v>
      </c>
      <c r="B104" s="48" t="s">
        <v>75</v>
      </c>
      <c r="C104" s="53" t="s">
        <v>127</v>
      </c>
      <c r="D104" s="46" t="s">
        <v>167</v>
      </c>
      <c r="E104" s="46" t="s">
        <v>215</v>
      </c>
      <c r="F104" s="51" t="s">
        <v>269</v>
      </c>
      <c r="G104" s="46" t="s">
        <v>290</v>
      </c>
      <c r="H104" s="46">
        <v>21</v>
      </c>
      <c r="I104" s="46">
        <v>60</v>
      </c>
      <c r="J104" s="50">
        <f t="shared" si="6"/>
        <v>1.75</v>
      </c>
      <c r="K104" s="50">
        <f t="shared" si="7"/>
        <v>5</v>
      </c>
      <c r="L104" s="49">
        <v>1</v>
      </c>
      <c r="M104" s="50">
        <f t="shared" si="8"/>
        <v>8.75</v>
      </c>
      <c r="N104" s="49">
        <v>0</v>
      </c>
      <c r="O104" s="45">
        <f t="shared" si="9"/>
        <v>0</v>
      </c>
      <c r="P104" s="45">
        <f t="shared" si="10"/>
        <v>0</v>
      </c>
      <c r="Q104" s="45">
        <f t="shared" si="11"/>
        <v>0</v>
      </c>
    </row>
    <row r="105" spans="1:17" x14ac:dyDescent="0.45">
      <c r="A105" s="47">
        <v>109</v>
      </c>
      <c r="B105" s="48" t="s">
        <v>75</v>
      </c>
      <c r="C105" s="53" t="s">
        <v>127</v>
      </c>
      <c r="D105" s="46" t="s">
        <v>167</v>
      </c>
      <c r="E105" s="46" t="s">
        <v>215</v>
      </c>
      <c r="F105" s="51" t="s">
        <v>269</v>
      </c>
      <c r="G105" s="46" t="s">
        <v>42</v>
      </c>
      <c r="H105" s="46">
        <v>62</v>
      </c>
      <c r="I105" s="46">
        <v>32</v>
      </c>
      <c r="J105" s="50">
        <f t="shared" si="6"/>
        <v>5.166666666666667</v>
      </c>
      <c r="K105" s="50">
        <f t="shared" si="7"/>
        <v>2.6666666666666665</v>
      </c>
      <c r="L105" s="49">
        <v>1</v>
      </c>
      <c r="M105" s="50">
        <f t="shared" si="8"/>
        <v>13.777777777777779</v>
      </c>
      <c r="N105" s="49">
        <v>0</v>
      </c>
      <c r="O105" s="45">
        <f t="shared" si="9"/>
        <v>0</v>
      </c>
      <c r="P105" s="45">
        <f t="shared" si="10"/>
        <v>0</v>
      </c>
      <c r="Q105" s="45">
        <f t="shared" si="11"/>
        <v>0</v>
      </c>
    </row>
    <row r="106" spans="1:17" x14ac:dyDescent="0.45">
      <c r="A106" s="51">
        <v>110</v>
      </c>
      <c r="B106" s="48" t="s">
        <v>75</v>
      </c>
      <c r="C106" s="53" t="s">
        <v>127</v>
      </c>
      <c r="D106" s="46" t="s">
        <v>167</v>
      </c>
      <c r="E106" s="46" t="s">
        <v>215</v>
      </c>
      <c r="F106" s="51" t="s">
        <v>269</v>
      </c>
      <c r="G106" s="46" t="s">
        <v>42</v>
      </c>
      <c r="H106" s="46">
        <v>85</v>
      </c>
      <c r="I106" s="46">
        <v>72</v>
      </c>
      <c r="J106" s="50">
        <f t="shared" si="6"/>
        <v>7.083333333333333</v>
      </c>
      <c r="K106" s="50">
        <f t="shared" si="7"/>
        <v>6</v>
      </c>
      <c r="L106" s="49">
        <v>1</v>
      </c>
      <c r="M106" s="50">
        <f t="shared" si="8"/>
        <v>42.5</v>
      </c>
      <c r="N106" s="49">
        <v>0</v>
      </c>
      <c r="O106" s="45">
        <f t="shared" si="9"/>
        <v>0</v>
      </c>
      <c r="P106" s="45">
        <f t="shared" si="10"/>
        <v>0</v>
      </c>
      <c r="Q106" s="45">
        <f t="shared" si="11"/>
        <v>0</v>
      </c>
    </row>
    <row r="107" spans="1:17" x14ac:dyDescent="0.45">
      <c r="A107" s="47">
        <v>112</v>
      </c>
      <c r="B107" s="48" t="s">
        <v>76</v>
      </c>
      <c r="C107" s="53" t="s">
        <v>128</v>
      </c>
      <c r="D107" s="46" t="s">
        <v>162</v>
      </c>
      <c r="E107" s="46" t="s">
        <v>216</v>
      </c>
      <c r="F107" s="51" t="s">
        <v>270</v>
      </c>
      <c r="G107" s="46" t="s">
        <v>42</v>
      </c>
      <c r="H107" s="46">
        <v>45</v>
      </c>
      <c r="I107" s="46">
        <v>45</v>
      </c>
      <c r="J107" s="50">
        <f t="shared" si="6"/>
        <v>3.75</v>
      </c>
      <c r="K107" s="50">
        <f t="shared" si="7"/>
        <v>3.75</v>
      </c>
      <c r="L107" s="49">
        <v>1</v>
      </c>
      <c r="M107" s="50">
        <f t="shared" si="8"/>
        <v>14.0625</v>
      </c>
      <c r="N107" s="49">
        <v>0</v>
      </c>
      <c r="O107" s="45">
        <f t="shared" si="9"/>
        <v>0</v>
      </c>
      <c r="P107" s="45">
        <f t="shared" si="10"/>
        <v>0</v>
      </c>
      <c r="Q107" s="45">
        <f t="shared" si="11"/>
        <v>0</v>
      </c>
    </row>
    <row r="108" spans="1:17" x14ac:dyDescent="0.45">
      <c r="A108" s="47">
        <v>115</v>
      </c>
      <c r="B108" s="49" t="s">
        <v>77</v>
      </c>
      <c r="C108" s="49" t="s">
        <v>129</v>
      </c>
      <c r="D108" s="46" t="s">
        <v>168</v>
      </c>
      <c r="E108" s="52" t="s">
        <v>217</v>
      </c>
      <c r="F108" s="51" t="s">
        <v>271</v>
      </c>
      <c r="G108" s="46" t="s">
        <v>290</v>
      </c>
      <c r="H108" s="46">
        <v>22</v>
      </c>
      <c r="I108" s="46">
        <v>30</v>
      </c>
      <c r="J108" s="50">
        <f t="shared" si="6"/>
        <v>1.8333333333333333</v>
      </c>
      <c r="K108" s="50">
        <f t="shared" si="7"/>
        <v>2.5</v>
      </c>
      <c r="L108" s="49">
        <v>1</v>
      </c>
      <c r="M108" s="50">
        <f t="shared" si="8"/>
        <v>4.583333333333333</v>
      </c>
      <c r="N108" s="49">
        <v>0</v>
      </c>
      <c r="O108" s="45">
        <f t="shared" si="9"/>
        <v>0</v>
      </c>
      <c r="P108" s="45">
        <f t="shared" si="10"/>
        <v>0</v>
      </c>
      <c r="Q108" s="45">
        <f t="shared" si="11"/>
        <v>0</v>
      </c>
    </row>
    <row r="109" spans="1:17" x14ac:dyDescent="0.45">
      <c r="A109" s="47">
        <v>117</v>
      </c>
      <c r="B109" s="49" t="s">
        <v>77</v>
      </c>
      <c r="C109" s="49" t="s">
        <v>129</v>
      </c>
      <c r="D109" s="46" t="s">
        <v>168</v>
      </c>
      <c r="E109" s="52" t="s">
        <v>217</v>
      </c>
      <c r="F109" s="51" t="s">
        <v>271</v>
      </c>
      <c r="G109" s="46" t="s">
        <v>290</v>
      </c>
      <c r="H109" s="46">
        <v>48</v>
      </c>
      <c r="I109" s="46">
        <v>30</v>
      </c>
      <c r="J109" s="50">
        <f t="shared" si="6"/>
        <v>4</v>
      </c>
      <c r="K109" s="50">
        <f t="shared" si="7"/>
        <v>2.5</v>
      </c>
      <c r="L109" s="49">
        <v>1</v>
      </c>
      <c r="M109" s="50">
        <f t="shared" si="8"/>
        <v>10</v>
      </c>
      <c r="N109" s="49">
        <v>0</v>
      </c>
      <c r="O109" s="45">
        <f t="shared" si="9"/>
        <v>0</v>
      </c>
      <c r="P109" s="45">
        <f t="shared" si="10"/>
        <v>0</v>
      </c>
      <c r="Q109" s="45">
        <f t="shared" si="11"/>
        <v>0</v>
      </c>
    </row>
    <row r="110" spans="1:17" x14ac:dyDescent="0.45">
      <c r="A110" s="47">
        <v>118</v>
      </c>
      <c r="B110" s="49" t="s">
        <v>77</v>
      </c>
      <c r="C110" s="49" t="s">
        <v>129</v>
      </c>
      <c r="D110" s="46" t="s">
        <v>168</v>
      </c>
      <c r="E110" s="52" t="s">
        <v>217</v>
      </c>
      <c r="F110" s="51" t="s">
        <v>271</v>
      </c>
      <c r="G110" s="46" t="s">
        <v>42</v>
      </c>
      <c r="H110" s="46">
        <v>57</v>
      </c>
      <c r="I110" s="46">
        <v>24</v>
      </c>
      <c r="J110" s="50">
        <f t="shared" si="6"/>
        <v>4.75</v>
      </c>
      <c r="K110" s="50">
        <f t="shared" si="7"/>
        <v>2</v>
      </c>
      <c r="L110" s="49">
        <v>1</v>
      </c>
      <c r="M110" s="50">
        <f t="shared" si="8"/>
        <v>9.5</v>
      </c>
      <c r="N110" s="49">
        <v>0</v>
      </c>
      <c r="O110" s="45">
        <f t="shared" si="9"/>
        <v>0</v>
      </c>
      <c r="P110" s="45">
        <f t="shared" si="10"/>
        <v>0</v>
      </c>
      <c r="Q110" s="45">
        <f t="shared" si="11"/>
        <v>0</v>
      </c>
    </row>
    <row r="111" spans="1:17" x14ac:dyDescent="0.45">
      <c r="A111" s="51">
        <v>119</v>
      </c>
      <c r="B111" s="49" t="s">
        <v>77</v>
      </c>
      <c r="C111" s="49" t="s">
        <v>129</v>
      </c>
      <c r="D111" s="46" t="s">
        <v>168</v>
      </c>
      <c r="E111" s="52" t="s">
        <v>217</v>
      </c>
      <c r="F111" s="51" t="s">
        <v>271</v>
      </c>
      <c r="G111" s="46" t="s">
        <v>42</v>
      </c>
      <c r="H111" s="46">
        <v>70</v>
      </c>
      <c r="I111" s="46">
        <v>24</v>
      </c>
      <c r="J111" s="50">
        <f t="shared" si="6"/>
        <v>5.833333333333333</v>
      </c>
      <c r="K111" s="50">
        <f t="shared" si="7"/>
        <v>2</v>
      </c>
      <c r="L111" s="49">
        <v>1</v>
      </c>
      <c r="M111" s="50">
        <f t="shared" si="8"/>
        <v>11.666666666666666</v>
      </c>
      <c r="N111" s="49">
        <v>0</v>
      </c>
      <c r="O111" s="45">
        <f t="shared" si="9"/>
        <v>0</v>
      </c>
      <c r="P111" s="45">
        <f t="shared" si="10"/>
        <v>0</v>
      </c>
      <c r="Q111" s="45">
        <f t="shared" si="11"/>
        <v>0</v>
      </c>
    </row>
    <row r="112" spans="1:17" x14ac:dyDescent="0.45">
      <c r="A112" s="47">
        <v>120</v>
      </c>
      <c r="B112" s="49" t="s">
        <v>77</v>
      </c>
      <c r="C112" s="49" t="s">
        <v>129</v>
      </c>
      <c r="D112" s="46" t="s">
        <v>168</v>
      </c>
      <c r="E112" s="52" t="s">
        <v>217</v>
      </c>
      <c r="F112" s="51" t="s">
        <v>271</v>
      </c>
      <c r="G112" s="46" t="s">
        <v>42</v>
      </c>
      <c r="H112" s="46">
        <v>141</v>
      </c>
      <c r="I112" s="46">
        <v>23</v>
      </c>
      <c r="J112" s="50">
        <f t="shared" si="6"/>
        <v>11.75</v>
      </c>
      <c r="K112" s="50">
        <f t="shared" si="7"/>
        <v>1.9166666666666667</v>
      </c>
      <c r="L112" s="49">
        <v>1</v>
      </c>
      <c r="M112" s="50">
        <f t="shared" si="8"/>
        <v>22.520833333333336</v>
      </c>
      <c r="N112" s="49">
        <v>0</v>
      </c>
      <c r="O112" s="45">
        <f t="shared" si="9"/>
        <v>0</v>
      </c>
      <c r="P112" s="45">
        <f t="shared" si="10"/>
        <v>0</v>
      </c>
      <c r="Q112" s="45">
        <f t="shared" si="11"/>
        <v>0</v>
      </c>
    </row>
    <row r="113" spans="1:17" x14ac:dyDescent="0.45">
      <c r="A113" s="47">
        <v>121</v>
      </c>
      <c r="B113" s="48"/>
      <c r="C113" s="49" t="s">
        <v>130</v>
      </c>
      <c r="D113" s="46" t="s">
        <v>169</v>
      </c>
      <c r="E113" s="52" t="s">
        <v>218</v>
      </c>
      <c r="F113" s="51" t="s">
        <v>272</v>
      </c>
      <c r="G113" s="46" t="s">
        <v>42</v>
      </c>
      <c r="H113" s="46">
        <v>134</v>
      </c>
      <c r="I113" s="46">
        <v>84</v>
      </c>
      <c r="J113" s="50">
        <f t="shared" si="6"/>
        <v>11.166666666666666</v>
      </c>
      <c r="K113" s="50">
        <f t="shared" si="7"/>
        <v>7</v>
      </c>
      <c r="L113" s="49">
        <v>1</v>
      </c>
      <c r="M113" s="50">
        <f t="shared" si="8"/>
        <v>78.166666666666657</v>
      </c>
      <c r="N113" s="49">
        <v>0</v>
      </c>
      <c r="O113" s="45">
        <f t="shared" si="9"/>
        <v>0</v>
      </c>
      <c r="P113" s="45">
        <f t="shared" si="10"/>
        <v>0</v>
      </c>
      <c r="Q113" s="45">
        <f t="shared" si="11"/>
        <v>0</v>
      </c>
    </row>
    <row r="114" spans="1:17" x14ac:dyDescent="0.45">
      <c r="A114" s="47">
        <v>124</v>
      </c>
      <c r="B114" s="48" t="s">
        <v>78</v>
      </c>
      <c r="C114" s="49" t="s">
        <v>131</v>
      </c>
      <c r="D114" s="46" t="s">
        <v>171</v>
      </c>
      <c r="E114" s="46" t="s">
        <v>219</v>
      </c>
      <c r="F114" s="51" t="s">
        <v>273</v>
      </c>
      <c r="G114" s="46" t="s">
        <v>42</v>
      </c>
      <c r="H114" s="46">
        <v>96</v>
      </c>
      <c r="I114" s="46">
        <v>120</v>
      </c>
      <c r="J114" s="50">
        <f t="shared" si="6"/>
        <v>8</v>
      </c>
      <c r="K114" s="50">
        <f t="shared" si="7"/>
        <v>10</v>
      </c>
      <c r="L114" s="49">
        <v>1</v>
      </c>
      <c r="M114" s="50">
        <f t="shared" si="8"/>
        <v>80</v>
      </c>
      <c r="N114" s="49">
        <v>0</v>
      </c>
      <c r="O114" s="45">
        <f t="shared" si="9"/>
        <v>0</v>
      </c>
      <c r="P114" s="45">
        <f t="shared" si="10"/>
        <v>0</v>
      </c>
      <c r="Q114" s="45">
        <f t="shared" si="11"/>
        <v>0</v>
      </c>
    </row>
    <row r="115" spans="1:17" x14ac:dyDescent="0.45">
      <c r="A115" s="51">
        <v>125</v>
      </c>
      <c r="B115" s="48" t="s">
        <v>78</v>
      </c>
      <c r="C115" s="49" t="s">
        <v>131</v>
      </c>
      <c r="D115" s="46" t="s">
        <v>171</v>
      </c>
      <c r="E115" s="46" t="s">
        <v>219</v>
      </c>
      <c r="F115" s="51" t="s">
        <v>273</v>
      </c>
      <c r="G115" s="46" t="s">
        <v>42</v>
      </c>
      <c r="H115" s="46">
        <v>156</v>
      </c>
      <c r="I115" s="46">
        <v>120</v>
      </c>
      <c r="J115" s="50">
        <f t="shared" si="6"/>
        <v>13</v>
      </c>
      <c r="K115" s="50">
        <f t="shared" si="7"/>
        <v>10</v>
      </c>
      <c r="L115" s="49">
        <v>1</v>
      </c>
      <c r="M115" s="50">
        <f t="shared" si="8"/>
        <v>130</v>
      </c>
      <c r="N115" s="49">
        <v>0</v>
      </c>
      <c r="O115" s="45">
        <f t="shared" si="9"/>
        <v>0</v>
      </c>
      <c r="P115" s="45">
        <f t="shared" si="10"/>
        <v>0</v>
      </c>
      <c r="Q115" s="45">
        <f t="shared" si="11"/>
        <v>0</v>
      </c>
    </row>
    <row r="116" spans="1:17" x14ac:dyDescent="0.45">
      <c r="A116" s="47">
        <v>127</v>
      </c>
      <c r="B116" s="48" t="s">
        <v>79</v>
      </c>
      <c r="C116" s="53" t="s">
        <v>132</v>
      </c>
      <c r="D116" s="46" t="s">
        <v>170</v>
      </c>
      <c r="E116" s="52" t="s">
        <v>220</v>
      </c>
      <c r="F116" s="51" t="s">
        <v>274</v>
      </c>
      <c r="G116" s="46" t="s">
        <v>290</v>
      </c>
      <c r="H116" s="46">
        <v>190</v>
      </c>
      <c r="I116" s="46">
        <v>96</v>
      </c>
      <c r="J116" s="50">
        <f t="shared" si="6"/>
        <v>15.833333333333334</v>
      </c>
      <c r="K116" s="50">
        <f t="shared" si="7"/>
        <v>8</v>
      </c>
      <c r="L116" s="49">
        <v>1</v>
      </c>
      <c r="M116" s="50">
        <f t="shared" si="8"/>
        <v>126.66666666666667</v>
      </c>
      <c r="N116" s="49">
        <v>0</v>
      </c>
      <c r="O116" s="45">
        <f t="shared" si="9"/>
        <v>0</v>
      </c>
      <c r="P116" s="45">
        <f t="shared" si="10"/>
        <v>0</v>
      </c>
      <c r="Q116" s="45">
        <f t="shared" si="11"/>
        <v>0</v>
      </c>
    </row>
    <row r="117" spans="1:17" x14ac:dyDescent="0.45">
      <c r="A117" s="51">
        <v>128</v>
      </c>
      <c r="B117" s="53" t="s">
        <v>80</v>
      </c>
      <c r="C117" s="53" t="s">
        <v>133</v>
      </c>
      <c r="D117" s="46" t="s">
        <v>170</v>
      </c>
      <c r="E117" s="52" t="s">
        <v>221</v>
      </c>
      <c r="F117" s="51" t="s">
        <v>275</v>
      </c>
      <c r="G117" s="46" t="s">
        <v>290</v>
      </c>
      <c r="H117" s="46">
        <v>36</v>
      </c>
      <c r="I117" s="46">
        <v>36</v>
      </c>
      <c r="J117" s="50">
        <f t="shared" si="6"/>
        <v>3</v>
      </c>
      <c r="K117" s="50">
        <f t="shared" si="7"/>
        <v>3</v>
      </c>
      <c r="L117" s="49">
        <v>1</v>
      </c>
      <c r="M117" s="50">
        <f t="shared" si="8"/>
        <v>9</v>
      </c>
      <c r="N117" s="49">
        <v>0</v>
      </c>
      <c r="O117" s="45">
        <f t="shared" si="9"/>
        <v>0</v>
      </c>
      <c r="P117" s="45">
        <f t="shared" si="10"/>
        <v>0</v>
      </c>
      <c r="Q117" s="45">
        <f t="shared" si="11"/>
        <v>0</v>
      </c>
    </row>
    <row r="118" spans="1:17" x14ac:dyDescent="0.45">
      <c r="A118" s="47">
        <v>129</v>
      </c>
      <c r="B118" s="53" t="s">
        <v>80</v>
      </c>
      <c r="C118" s="53" t="s">
        <v>133</v>
      </c>
      <c r="D118" s="46" t="s">
        <v>170</v>
      </c>
      <c r="E118" s="52" t="s">
        <v>221</v>
      </c>
      <c r="F118" s="51" t="s">
        <v>275</v>
      </c>
      <c r="G118" s="46" t="s">
        <v>290</v>
      </c>
      <c r="H118" s="46">
        <v>47</v>
      </c>
      <c r="I118" s="46">
        <v>40</v>
      </c>
      <c r="J118" s="50">
        <f t="shared" si="6"/>
        <v>3.9166666666666665</v>
      </c>
      <c r="K118" s="50">
        <f t="shared" si="7"/>
        <v>3.3333333333333335</v>
      </c>
      <c r="L118" s="49">
        <v>1</v>
      </c>
      <c r="M118" s="50">
        <f t="shared" si="8"/>
        <v>13.055555555555555</v>
      </c>
      <c r="N118" s="49">
        <v>0</v>
      </c>
      <c r="O118" s="45">
        <f t="shared" si="9"/>
        <v>0</v>
      </c>
      <c r="P118" s="45">
        <f t="shared" si="10"/>
        <v>0</v>
      </c>
      <c r="Q118" s="45">
        <f t="shared" si="11"/>
        <v>0</v>
      </c>
    </row>
    <row r="119" spans="1:17" x14ac:dyDescent="0.45">
      <c r="A119" s="47">
        <v>130</v>
      </c>
      <c r="B119" s="53" t="s">
        <v>80</v>
      </c>
      <c r="C119" s="53" t="s">
        <v>133</v>
      </c>
      <c r="D119" s="46" t="s">
        <v>170</v>
      </c>
      <c r="E119" s="52" t="s">
        <v>221</v>
      </c>
      <c r="F119" s="51" t="s">
        <v>275</v>
      </c>
      <c r="G119" s="46" t="s">
        <v>290</v>
      </c>
      <c r="H119" s="46">
        <v>94</v>
      </c>
      <c r="I119" s="46">
        <v>34</v>
      </c>
      <c r="J119" s="50">
        <f t="shared" si="6"/>
        <v>7.833333333333333</v>
      </c>
      <c r="K119" s="50">
        <f t="shared" si="7"/>
        <v>2.8333333333333335</v>
      </c>
      <c r="L119" s="49">
        <v>1</v>
      </c>
      <c r="M119" s="50">
        <f t="shared" si="8"/>
        <v>22.194444444444446</v>
      </c>
      <c r="N119" s="49">
        <v>0</v>
      </c>
      <c r="O119" s="45">
        <f t="shared" si="9"/>
        <v>0</v>
      </c>
      <c r="P119" s="45">
        <f t="shared" si="10"/>
        <v>0</v>
      </c>
      <c r="Q119" s="45">
        <f t="shared" si="11"/>
        <v>0</v>
      </c>
    </row>
    <row r="120" spans="1:17" x14ac:dyDescent="0.45">
      <c r="A120" s="51">
        <v>131</v>
      </c>
      <c r="B120" s="53" t="s">
        <v>80</v>
      </c>
      <c r="C120" s="53" t="s">
        <v>133</v>
      </c>
      <c r="D120" s="46" t="s">
        <v>170</v>
      </c>
      <c r="E120" s="52" t="s">
        <v>221</v>
      </c>
      <c r="F120" s="51" t="s">
        <v>275</v>
      </c>
      <c r="G120" s="46" t="s">
        <v>290</v>
      </c>
      <c r="H120" s="46">
        <v>98</v>
      </c>
      <c r="I120" s="46">
        <v>35</v>
      </c>
      <c r="J120" s="50">
        <f t="shared" si="6"/>
        <v>8.1666666666666661</v>
      </c>
      <c r="K120" s="50">
        <f t="shared" si="7"/>
        <v>2.9166666666666665</v>
      </c>
      <c r="L120" s="49">
        <v>1</v>
      </c>
      <c r="M120" s="50">
        <f t="shared" si="8"/>
        <v>23.819444444444443</v>
      </c>
      <c r="N120" s="49">
        <v>0</v>
      </c>
      <c r="O120" s="45">
        <f t="shared" si="9"/>
        <v>0</v>
      </c>
      <c r="P120" s="45">
        <f t="shared" si="10"/>
        <v>0</v>
      </c>
      <c r="Q120" s="45">
        <f t="shared" si="11"/>
        <v>0</v>
      </c>
    </row>
    <row r="121" spans="1:17" x14ac:dyDescent="0.45">
      <c r="A121" s="47">
        <v>132</v>
      </c>
      <c r="B121" s="53" t="s">
        <v>81</v>
      </c>
      <c r="C121" s="53" t="s">
        <v>134</v>
      </c>
      <c r="D121" s="46" t="s">
        <v>172</v>
      </c>
      <c r="E121" s="52" t="s">
        <v>222</v>
      </c>
      <c r="F121" s="51" t="s">
        <v>276</v>
      </c>
      <c r="G121" s="46" t="s">
        <v>290</v>
      </c>
      <c r="H121" s="46">
        <v>48</v>
      </c>
      <c r="I121" s="46">
        <v>25</v>
      </c>
      <c r="J121" s="50">
        <f t="shared" si="6"/>
        <v>4</v>
      </c>
      <c r="K121" s="50">
        <f t="shared" si="7"/>
        <v>2.0833333333333335</v>
      </c>
      <c r="L121" s="49">
        <v>1</v>
      </c>
      <c r="M121" s="50">
        <f t="shared" si="8"/>
        <v>8.3333333333333339</v>
      </c>
      <c r="N121" s="49">
        <v>0</v>
      </c>
      <c r="O121" s="45">
        <f t="shared" si="9"/>
        <v>0</v>
      </c>
      <c r="P121" s="45">
        <f t="shared" si="10"/>
        <v>0</v>
      </c>
      <c r="Q121" s="45">
        <f t="shared" si="11"/>
        <v>0</v>
      </c>
    </row>
    <row r="122" spans="1:17" x14ac:dyDescent="0.45">
      <c r="A122" s="47">
        <v>133</v>
      </c>
      <c r="B122" s="53" t="s">
        <v>81</v>
      </c>
      <c r="C122" s="53" t="s">
        <v>134</v>
      </c>
      <c r="D122" s="46" t="s">
        <v>172</v>
      </c>
      <c r="E122" s="52" t="s">
        <v>222</v>
      </c>
      <c r="F122" s="51" t="s">
        <v>276</v>
      </c>
      <c r="G122" s="46" t="s">
        <v>290</v>
      </c>
      <c r="H122" s="46">
        <v>48</v>
      </c>
      <c r="I122" s="46">
        <v>25</v>
      </c>
      <c r="J122" s="50">
        <f t="shared" si="6"/>
        <v>4</v>
      </c>
      <c r="K122" s="50">
        <f t="shared" si="7"/>
        <v>2.0833333333333335</v>
      </c>
      <c r="L122" s="49">
        <v>1</v>
      </c>
      <c r="M122" s="50">
        <f t="shared" si="8"/>
        <v>8.3333333333333339</v>
      </c>
      <c r="N122" s="49">
        <v>0</v>
      </c>
      <c r="O122" s="45">
        <f t="shared" si="9"/>
        <v>0</v>
      </c>
      <c r="P122" s="45">
        <f t="shared" si="10"/>
        <v>0</v>
      </c>
      <c r="Q122" s="45">
        <f t="shared" si="11"/>
        <v>0</v>
      </c>
    </row>
    <row r="123" spans="1:17" x14ac:dyDescent="0.45">
      <c r="A123" s="47">
        <v>135</v>
      </c>
      <c r="B123" s="53" t="s">
        <v>82</v>
      </c>
      <c r="C123" s="53" t="s">
        <v>135</v>
      </c>
      <c r="D123" s="46" t="s">
        <v>173</v>
      </c>
      <c r="E123" s="52" t="s">
        <v>223</v>
      </c>
      <c r="F123" s="51" t="s">
        <v>277</v>
      </c>
      <c r="G123" s="46" t="s">
        <v>334</v>
      </c>
      <c r="H123" s="46">
        <v>48</v>
      </c>
      <c r="I123" s="46">
        <v>30</v>
      </c>
      <c r="J123" s="50">
        <f t="shared" si="6"/>
        <v>4</v>
      </c>
      <c r="K123" s="50">
        <f t="shared" si="7"/>
        <v>2.5</v>
      </c>
      <c r="L123" s="49">
        <v>1</v>
      </c>
      <c r="M123" s="50">
        <f t="shared" si="8"/>
        <v>10</v>
      </c>
      <c r="N123" s="49">
        <v>0</v>
      </c>
      <c r="O123" s="45">
        <f t="shared" si="9"/>
        <v>0</v>
      </c>
      <c r="P123" s="45">
        <f t="shared" si="10"/>
        <v>0</v>
      </c>
      <c r="Q123" s="45">
        <f t="shared" si="11"/>
        <v>0</v>
      </c>
    </row>
    <row r="124" spans="1:17" x14ac:dyDescent="0.45">
      <c r="A124" s="47">
        <v>136</v>
      </c>
      <c r="B124" s="53" t="s">
        <v>82</v>
      </c>
      <c r="C124" s="53" t="s">
        <v>135</v>
      </c>
      <c r="D124" s="46" t="s">
        <v>173</v>
      </c>
      <c r="E124" s="52" t="s">
        <v>223</v>
      </c>
      <c r="F124" s="51" t="s">
        <v>277</v>
      </c>
      <c r="G124" s="46" t="s">
        <v>42</v>
      </c>
      <c r="H124" s="46">
        <v>84</v>
      </c>
      <c r="I124" s="46">
        <v>27</v>
      </c>
      <c r="J124" s="50">
        <f t="shared" si="6"/>
        <v>7</v>
      </c>
      <c r="K124" s="50">
        <f t="shared" si="7"/>
        <v>2.25</v>
      </c>
      <c r="L124" s="49">
        <v>1</v>
      </c>
      <c r="M124" s="50">
        <f t="shared" si="8"/>
        <v>15.75</v>
      </c>
      <c r="N124" s="49">
        <v>0</v>
      </c>
      <c r="O124" s="45">
        <f t="shared" si="9"/>
        <v>0</v>
      </c>
      <c r="P124" s="45">
        <f t="shared" si="10"/>
        <v>0</v>
      </c>
      <c r="Q124" s="45">
        <f t="shared" si="11"/>
        <v>0</v>
      </c>
    </row>
    <row r="125" spans="1:17" x14ac:dyDescent="0.45">
      <c r="A125" s="47">
        <v>139</v>
      </c>
      <c r="B125" s="53" t="s">
        <v>83</v>
      </c>
      <c r="C125" s="53" t="s">
        <v>136</v>
      </c>
      <c r="D125" s="46" t="s">
        <v>170</v>
      </c>
      <c r="E125" s="52" t="s">
        <v>224</v>
      </c>
      <c r="F125" s="51" t="s">
        <v>278</v>
      </c>
      <c r="G125" s="46" t="s">
        <v>42</v>
      </c>
      <c r="H125" s="46">
        <v>21</v>
      </c>
      <c r="I125" s="46">
        <v>58</v>
      </c>
      <c r="J125" s="50">
        <f t="shared" si="6"/>
        <v>1.75</v>
      </c>
      <c r="K125" s="50">
        <f t="shared" si="7"/>
        <v>4.833333333333333</v>
      </c>
      <c r="L125" s="49">
        <v>1</v>
      </c>
      <c r="M125" s="50">
        <f t="shared" si="8"/>
        <v>8.4583333333333321</v>
      </c>
      <c r="N125" s="49">
        <v>0</v>
      </c>
      <c r="O125" s="45">
        <f t="shared" si="9"/>
        <v>0</v>
      </c>
      <c r="P125" s="45">
        <f t="shared" si="10"/>
        <v>0</v>
      </c>
      <c r="Q125" s="45">
        <f t="shared" si="11"/>
        <v>0</v>
      </c>
    </row>
    <row r="126" spans="1:17" x14ac:dyDescent="0.45">
      <c r="A126" s="51">
        <v>140</v>
      </c>
      <c r="B126" s="53" t="s">
        <v>83</v>
      </c>
      <c r="C126" s="53" t="s">
        <v>136</v>
      </c>
      <c r="D126" s="46" t="s">
        <v>170</v>
      </c>
      <c r="E126" s="52" t="s">
        <v>224</v>
      </c>
      <c r="F126" s="51" t="s">
        <v>278</v>
      </c>
      <c r="G126" s="46" t="s">
        <v>42</v>
      </c>
      <c r="H126" s="46">
        <v>46</v>
      </c>
      <c r="I126" s="46">
        <v>28</v>
      </c>
      <c r="J126" s="50">
        <f t="shared" si="6"/>
        <v>3.8333333333333335</v>
      </c>
      <c r="K126" s="50">
        <f t="shared" si="7"/>
        <v>2.3333333333333335</v>
      </c>
      <c r="L126" s="49">
        <v>1</v>
      </c>
      <c r="M126" s="50">
        <f t="shared" si="8"/>
        <v>8.9444444444444446</v>
      </c>
      <c r="N126" s="49">
        <v>0</v>
      </c>
      <c r="O126" s="45">
        <f t="shared" si="9"/>
        <v>0</v>
      </c>
      <c r="P126" s="45">
        <f t="shared" si="10"/>
        <v>0</v>
      </c>
      <c r="Q126" s="45">
        <f t="shared" si="11"/>
        <v>0</v>
      </c>
    </row>
    <row r="127" spans="1:17" x14ac:dyDescent="0.45">
      <c r="A127" s="47">
        <v>141</v>
      </c>
      <c r="B127" s="53" t="s">
        <v>83</v>
      </c>
      <c r="C127" s="53" t="s">
        <v>136</v>
      </c>
      <c r="D127" s="46" t="s">
        <v>170</v>
      </c>
      <c r="E127" s="52" t="s">
        <v>224</v>
      </c>
      <c r="F127" s="51" t="s">
        <v>278</v>
      </c>
      <c r="G127" s="46" t="s">
        <v>334</v>
      </c>
      <c r="H127" s="46">
        <v>48</v>
      </c>
      <c r="I127" s="46">
        <v>30</v>
      </c>
      <c r="J127" s="50">
        <f t="shared" si="6"/>
        <v>4</v>
      </c>
      <c r="K127" s="50">
        <f t="shared" si="7"/>
        <v>2.5</v>
      </c>
      <c r="L127" s="49">
        <v>1</v>
      </c>
      <c r="M127" s="50">
        <f t="shared" si="8"/>
        <v>10</v>
      </c>
      <c r="N127" s="49">
        <v>0</v>
      </c>
      <c r="O127" s="45">
        <f t="shared" si="9"/>
        <v>0</v>
      </c>
      <c r="P127" s="45">
        <f t="shared" si="10"/>
        <v>0</v>
      </c>
      <c r="Q127" s="45">
        <f t="shared" si="11"/>
        <v>0</v>
      </c>
    </row>
    <row r="128" spans="1:17" x14ac:dyDescent="0.45">
      <c r="A128" s="47">
        <v>142</v>
      </c>
      <c r="B128" s="53" t="s">
        <v>83</v>
      </c>
      <c r="C128" s="53" t="s">
        <v>136</v>
      </c>
      <c r="D128" s="46" t="s">
        <v>170</v>
      </c>
      <c r="E128" s="52" t="s">
        <v>224</v>
      </c>
      <c r="F128" s="51" t="s">
        <v>278</v>
      </c>
      <c r="G128" s="46" t="s">
        <v>42</v>
      </c>
      <c r="H128" s="46">
        <v>174</v>
      </c>
      <c r="I128" s="46">
        <v>36</v>
      </c>
      <c r="J128" s="50">
        <f t="shared" si="6"/>
        <v>14.5</v>
      </c>
      <c r="K128" s="50">
        <f t="shared" si="7"/>
        <v>3</v>
      </c>
      <c r="L128" s="49">
        <v>1</v>
      </c>
      <c r="M128" s="50">
        <f t="shared" si="8"/>
        <v>43.5</v>
      </c>
      <c r="N128" s="49">
        <v>0</v>
      </c>
      <c r="O128" s="45">
        <f t="shared" si="9"/>
        <v>0</v>
      </c>
      <c r="P128" s="45">
        <f t="shared" si="10"/>
        <v>0</v>
      </c>
      <c r="Q128" s="45">
        <f t="shared" si="11"/>
        <v>0</v>
      </c>
    </row>
    <row r="129" spans="1:17" x14ac:dyDescent="0.45">
      <c r="A129" s="51">
        <v>143</v>
      </c>
      <c r="B129" s="53" t="s">
        <v>83</v>
      </c>
      <c r="C129" s="53" t="s">
        <v>136</v>
      </c>
      <c r="D129" s="46" t="s">
        <v>170</v>
      </c>
      <c r="E129" s="52" t="s">
        <v>224</v>
      </c>
      <c r="F129" s="51" t="s">
        <v>278</v>
      </c>
      <c r="G129" s="46" t="s">
        <v>42</v>
      </c>
      <c r="H129" s="46">
        <v>190</v>
      </c>
      <c r="I129" s="46">
        <v>36</v>
      </c>
      <c r="J129" s="50">
        <f t="shared" si="6"/>
        <v>15.833333333333334</v>
      </c>
      <c r="K129" s="50">
        <f t="shared" si="7"/>
        <v>3</v>
      </c>
      <c r="L129" s="49">
        <v>1</v>
      </c>
      <c r="M129" s="50">
        <f t="shared" si="8"/>
        <v>47.5</v>
      </c>
      <c r="N129" s="49">
        <v>0</v>
      </c>
      <c r="O129" s="45">
        <f t="shared" si="9"/>
        <v>0</v>
      </c>
      <c r="P129" s="45">
        <f t="shared" si="10"/>
        <v>0</v>
      </c>
      <c r="Q129" s="45">
        <f t="shared" si="11"/>
        <v>0</v>
      </c>
    </row>
    <row r="130" spans="1:17" x14ac:dyDescent="0.45">
      <c r="A130" s="47">
        <v>144</v>
      </c>
      <c r="B130" s="53" t="s">
        <v>84</v>
      </c>
      <c r="C130" s="53" t="s">
        <v>137</v>
      </c>
      <c r="D130" s="46" t="s">
        <v>174</v>
      </c>
      <c r="E130" s="52" t="s">
        <v>225</v>
      </c>
      <c r="F130" s="51" t="s">
        <v>279</v>
      </c>
      <c r="G130" s="46" t="s">
        <v>42</v>
      </c>
      <c r="H130" s="46">
        <v>30</v>
      </c>
      <c r="I130" s="46">
        <v>23</v>
      </c>
      <c r="J130" s="50">
        <f t="shared" si="6"/>
        <v>2.5</v>
      </c>
      <c r="K130" s="50">
        <f t="shared" si="7"/>
        <v>1.9166666666666667</v>
      </c>
      <c r="L130" s="49">
        <v>1</v>
      </c>
      <c r="M130" s="50">
        <f t="shared" si="8"/>
        <v>4.791666666666667</v>
      </c>
      <c r="N130" s="49">
        <v>0</v>
      </c>
      <c r="O130" s="45">
        <f t="shared" si="9"/>
        <v>0</v>
      </c>
      <c r="P130" s="45">
        <f t="shared" si="10"/>
        <v>0</v>
      </c>
      <c r="Q130" s="45">
        <f t="shared" si="11"/>
        <v>0</v>
      </c>
    </row>
    <row r="131" spans="1:17" x14ac:dyDescent="0.45">
      <c r="A131" s="47">
        <v>145</v>
      </c>
      <c r="B131" s="53" t="s">
        <v>84</v>
      </c>
      <c r="C131" s="53" t="s">
        <v>137</v>
      </c>
      <c r="D131" s="46" t="s">
        <v>174</v>
      </c>
      <c r="E131" s="52" t="s">
        <v>225</v>
      </c>
      <c r="F131" s="51" t="s">
        <v>279</v>
      </c>
      <c r="G131" s="46" t="s">
        <v>42</v>
      </c>
      <c r="H131" s="46">
        <v>60</v>
      </c>
      <c r="I131" s="46">
        <v>30</v>
      </c>
      <c r="J131" s="50">
        <f t="shared" ref="J131:J156" si="12">H131/12</f>
        <v>5</v>
      </c>
      <c r="K131" s="50">
        <f t="shared" ref="K131:K156" si="13">I131/12</f>
        <v>2.5</v>
      </c>
      <c r="L131" s="49">
        <v>1</v>
      </c>
      <c r="M131" s="50">
        <f t="shared" ref="M131:M182" si="14">L131*K131*J131</f>
        <v>12.5</v>
      </c>
      <c r="N131" s="49">
        <v>0</v>
      </c>
      <c r="O131" s="45">
        <f t="shared" ref="O131:O184" si="15">N131*M131</f>
        <v>0</v>
      </c>
      <c r="P131" s="45">
        <f t="shared" ref="P131:P184" si="16">O131*18%</f>
        <v>0</v>
      </c>
      <c r="Q131" s="45">
        <f t="shared" ref="Q131:Q184" si="17">P131+O131</f>
        <v>0</v>
      </c>
    </row>
    <row r="132" spans="1:17" x14ac:dyDescent="0.45">
      <c r="A132" s="51">
        <v>146</v>
      </c>
      <c r="B132" s="53" t="s">
        <v>85</v>
      </c>
      <c r="C132" s="53" t="s">
        <v>138</v>
      </c>
      <c r="D132" s="46" t="s">
        <v>175</v>
      </c>
      <c r="E132" s="52" t="s">
        <v>226</v>
      </c>
      <c r="F132" s="51" t="s">
        <v>280</v>
      </c>
      <c r="G132" s="46" t="s">
        <v>290</v>
      </c>
      <c r="H132" s="46">
        <v>126</v>
      </c>
      <c r="I132" s="46">
        <v>28</v>
      </c>
      <c r="J132" s="50">
        <f t="shared" si="12"/>
        <v>10.5</v>
      </c>
      <c r="K132" s="50">
        <f t="shared" si="13"/>
        <v>2.3333333333333335</v>
      </c>
      <c r="L132" s="49">
        <v>1</v>
      </c>
      <c r="M132" s="50">
        <f t="shared" si="14"/>
        <v>24.5</v>
      </c>
      <c r="N132" s="49">
        <v>0</v>
      </c>
      <c r="O132" s="45">
        <f t="shared" si="15"/>
        <v>0</v>
      </c>
      <c r="P132" s="45">
        <f t="shared" si="16"/>
        <v>0</v>
      </c>
      <c r="Q132" s="45">
        <f t="shared" si="17"/>
        <v>0</v>
      </c>
    </row>
    <row r="133" spans="1:17" x14ac:dyDescent="0.45">
      <c r="A133" s="47">
        <v>151</v>
      </c>
      <c r="B133" s="53" t="s">
        <v>86</v>
      </c>
      <c r="C133" s="53" t="s">
        <v>139</v>
      </c>
      <c r="D133" s="46" t="s">
        <v>176</v>
      </c>
      <c r="E133" s="52" t="s">
        <v>227</v>
      </c>
      <c r="F133" s="51" t="s">
        <v>281</v>
      </c>
      <c r="G133" s="46" t="s">
        <v>290</v>
      </c>
      <c r="H133" s="46">
        <v>31</v>
      </c>
      <c r="I133" s="46">
        <v>41</v>
      </c>
      <c r="J133" s="50">
        <f t="shared" si="12"/>
        <v>2.5833333333333335</v>
      </c>
      <c r="K133" s="50">
        <f t="shared" si="13"/>
        <v>3.4166666666666665</v>
      </c>
      <c r="L133" s="49">
        <v>1</v>
      </c>
      <c r="M133" s="50">
        <f t="shared" si="14"/>
        <v>8.8263888888888893</v>
      </c>
      <c r="N133" s="49">
        <v>0</v>
      </c>
      <c r="O133" s="45">
        <f t="shared" si="15"/>
        <v>0</v>
      </c>
      <c r="P133" s="45">
        <f t="shared" si="16"/>
        <v>0</v>
      </c>
      <c r="Q133" s="45">
        <f t="shared" si="17"/>
        <v>0</v>
      </c>
    </row>
    <row r="134" spans="1:17" x14ac:dyDescent="0.45">
      <c r="A134" s="51">
        <v>152</v>
      </c>
      <c r="B134" s="53" t="s">
        <v>86</v>
      </c>
      <c r="C134" s="53" t="s">
        <v>139</v>
      </c>
      <c r="D134" s="46" t="s">
        <v>176</v>
      </c>
      <c r="E134" s="52" t="s">
        <v>228</v>
      </c>
      <c r="F134" s="51" t="s">
        <v>281</v>
      </c>
      <c r="G134" s="46" t="s">
        <v>334</v>
      </c>
      <c r="H134" s="46">
        <v>48</v>
      </c>
      <c r="I134" s="46">
        <v>30</v>
      </c>
      <c r="J134" s="50">
        <f t="shared" si="12"/>
        <v>4</v>
      </c>
      <c r="K134" s="50">
        <f t="shared" si="13"/>
        <v>2.5</v>
      </c>
      <c r="L134" s="49">
        <v>1</v>
      </c>
      <c r="M134" s="50">
        <f t="shared" si="14"/>
        <v>10</v>
      </c>
      <c r="N134" s="49">
        <v>0</v>
      </c>
      <c r="O134" s="45">
        <f t="shared" si="15"/>
        <v>0</v>
      </c>
      <c r="P134" s="45">
        <f t="shared" si="16"/>
        <v>0</v>
      </c>
      <c r="Q134" s="45">
        <f t="shared" si="17"/>
        <v>0</v>
      </c>
    </row>
    <row r="135" spans="1:17" x14ac:dyDescent="0.45">
      <c r="A135" s="47">
        <v>153</v>
      </c>
      <c r="B135" s="53" t="s">
        <v>86</v>
      </c>
      <c r="C135" s="53" t="s">
        <v>139</v>
      </c>
      <c r="D135" s="46" t="s">
        <v>176</v>
      </c>
      <c r="E135" s="52" t="s">
        <v>228</v>
      </c>
      <c r="F135" s="51" t="s">
        <v>281</v>
      </c>
      <c r="G135" s="46" t="s">
        <v>290</v>
      </c>
      <c r="H135" s="46">
        <v>55</v>
      </c>
      <c r="I135" s="46">
        <v>36</v>
      </c>
      <c r="J135" s="50">
        <f t="shared" si="12"/>
        <v>4.583333333333333</v>
      </c>
      <c r="K135" s="50">
        <f t="shared" si="13"/>
        <v>3</v>
      </c>
      <c r="L135" s="49">
        <v>1</v>
      </c>
      <c r="M135" s="50">
        <f t="shared" si="14"/>
        <v>13.75</v>
      </c>
      <c r="N135" s="49">
        <v>0</v>
      </c>
      <c r="O135" s="45">
        <f t="shared" si="15"/>
        <v>0</v>
      </c>
      <c r="P135" s="45">
        <f t="shared" si="16"/>
        <v>0</v>
      </c>
      <c r="Q135" s="45">
        <f t="shared" si="17"/>
        <v>0</v>
      </c>
    </row>
    <row r="136" spans="1:17" x14ac:dyDescent="0.45">
      <c r="A136" s="47">
        <v>154</v>
      </c>
      <c r="B136" s="49" t="s">
        <v>87</v>
      </c>
      <c r="C136" s="49" t="s">
        <v>140</v>
      </c>
      <c r="D136" s="46" t="s">
        <v>177</v>
      </c>
      <c r="E136" s="52" t="s">
        <v>229</v>
      </c>
      <c r="F136" s="51" t="s">
        <v>282</v>
      </c>
      <c r="G136" s="46" t="s">
        <v>290</v>
      </c>
      <c r="H136" s="46">
        <v>31</v>
      </c>
      <c r="I136" s="46">
        <v>42</v>
      </c>
      <c r="J136" s="50">
        <f t="shared" si="12"/>
        <v>2.5833333333333335</v>
      </c>
      <c r="K136" s="50">
        <f t="shared" si="13"/>
        <v>3.5</v>
      </c>
      <c r="L136" s="49">
        <v>1</v>
      </c>
      <c r="M136" s="50">
        <f t="shared" si="14"/>
        <v>9.0416666666666679</v>
      </c>
      <c r="N136" s="49">
        <v>0</v>
      </c>
      <c r="O136" s="45">
        <f t="shared" si="15"/>
        <v>0</v>
      </c>
      <c r="P136" s="45">
        <f t="shared" si="16"/>
        <v>0</v>
      </c>
      <c r="Q136" s="45">
        <f t="shared" si="17"/>
        <v>0</v>
      </c>
    </row>
    <row r="137" spans="1:17" x14ac:dyDescent="0.45">
      <c r="A137" s="51">
        <v>155</v>
      </c>
      <c r="B137" s="49" t="s">
        <v>87</v>
      </c>
      <c r="C137" s="49" t="s">
        <v>140</v>
      </c>
      <c r="D137" s="46" t="s">
        <v>177</v>
      </c>
      <c r="E137" s="52" t="s">
        <v>229</v>
      </c>
      <c r="F137" s="51" t="s">
        <v>282</v>
      </c>
      <c r="G137" s="46" t="s">
        <v>290</v>
      </c>
      <c r="H137" s="46">
        <v>42</v>
      </c>
      <c r="I137" s="46">
        <v>42</v>
      </c>
      <c r="J137" s="50">
        <f t="shared" si="12"/>
        <v>3.5</v>
      </c>
      <c r="K137" s="50">
        <f t="shared" si="13"/>
        <v>3.5</v>
      </c>
      <c r="L137" s="49">
        <v>1</v>
      </c>
      <c r="M137" s="50">
        <f t="shared" si="14"/>
        <v>12.25</v>
      </c>
      <c r="N137" s="49">
        <v>0</v>
      </c>
      <c r="O137" s="45">
        <f t="shared" si="15"/>
        <v>0</v>
      </c>
      <c r="P137" s="45">
        <f t="shared" si="16"/>
        <v>0</v>
      </c>
      <c r="Q137" s="45">
        <f t="shared" si="17"/>
        <v>0</v>
      </c>
    </row>
    <row r="138" spans="1:17" x14ac:dyDescent="0.45">
      <c r="A138" s="47">
        <v>156</v>
      </c>
      <c r="B138" s="49" t="s">
        <v>87</v>
      </c>
      <c r="C138" s="49" t="s">
        <v>140</v>
      </c>
      <c r="D138" s="46" t="s">
        <v>177</v>
      </c>
      <c r="E138" s="52" t="s">
        <v>229</v>
      </c>
      <c r="F138" s="51" t="s">
        <v>282</v>
      </c>
      <c r="G138" s="46" t="s">
        <v>290</v>
      </c>
      <c r="H138" s="46">
        <v>96</v>
      </c>
      <c r="I138" s="46">
        <v>29</v>
      </c>
      <c r="J138" s="50">
        <f t="shared" si="12"/>
        <v>8</v>
      </c>
      <c r="K138" s="50">
        <f t="shared" si="13"/>
        <v>2.4166666666666665</v>
      </c>
      <c r="L138" s="49">
        <v>1</v>
      </c>
      <c r="M138" s="50">
        <f t="shared" si="14"/>
        <v>19.333333333333332</v>
      </c>
      <c r="N138" s="49">
        <v>0</v>
      </c>
      <c r="O138" s="45">
        <f t="shared" si="15"/>
        <v>0</v>
      </c>
      <c r="P138" s="45">
        <f t="shared" si="16"/>
        <v>0</v>
      </c>
      <c r="Q138" s="45">
        <f t="shared" si="17"/>
        <v>0</v>
      </c>
    </row>
    <row r="139" spans="1:17" x14ac:dyDescent="0.45">
      <c r="A139" s="47">
        <v>157</v>
      </c>
      <c r="B139" s="49" t="s">
        <v>88</v>
      </c>
      <c r="C139" s="49" t="s">
        <v>141</v>
      </c>
      <c r="D139" s="46" t="s">
        <v>178</v>
      </c>
      <c r="E139" s="52" t="s">
        <v>230</v>
      </c>
      <c r="F139" s="51" t="s">
        <v>283</v>
      </c>
      <c r="G139" s="46" t="s">
        <v>42</v>
      </c>
      <c r="H139" s="46">
        <v>15</v>
      </c>
      <c r="I139" s="46">
        <v>103</v>
      </c>
      <c r="J139" s="50">
        <f t="shared" si="12"/>
        <v>1.25</v>
      </c>
      <c r="K139" s="50">
        <f t="shared" si="13"/>
        <v>8.5833333333333339</v>
      </c>
      <c r="L139" s="49">
        <v>1</v>
      </c>
      <c r="M139" s="50">
        <f t="shared" si="14"/>
        <v>10.729166666666668</v>
      </c>
      <c r="N139" s="49">
        <v>0</v>
      </c>
      <c r="O139" s="45">
        <f t="shared" si="15"/>
        <v>0</v>
      </c>
      <c r="P139" s="45">
        <f t="shared" si="16"/>
        <v>0</v>
      </c>
      <c r="Q139" s="45">
        <f t="shared" si="17"/>
        <v>0</v>
      </c>
    </row>
    <row r="140" spans="1:17" x14ac:dyDescent="0.45">
      <c r="A140" s="51">
        <v>158</v>
      </c>
      <c r="B140" s="49" t="s">
        <v>88</v>
      </c>
      <c r="C140" s="49" t="s">
        <v>141</v>
      </c>
      <c r="D140" s="46" t="s">
        <v>178</v>
      </c>
      <c r="E140" s="52" t="s">
        <v>230</v>
      </c>
      <c r="F140" s="51" t="s">
        <v>283</v>
      </c>
      <c r="G140" s="46" t="s">
        <v>42</v>
      </c>
      <c r="H140" s="46">
        <v>46</v>
      </c>
      <c r="I140" s="46">
        <v>25</v>
      </c>
      <c r="J140" s="50">
        <f t="shared" si="12"/>
        <v>3.8333333333333335</v>
      </c>
      <c r="K140" s="50">
        <f t="shared" si="13"/>
        <v>2.0833333333333335</v>
      </c>
      <c r="L140" s="49">
        <v>1</v>
      </c>
      <c r="M140" s="50">
        <f t="shared" si="14"/>
        <v>7.9861111111111116</v>
      </c>
      <c r="N140" s="49">
        <v>0</v>
      </c>
      <c r="O140" s="45">
        <f t="shared" si="15"/>
        <v>0</v>
      </c>
      <c r="P140" s="45">
        <f t="shared" si="16"/>
        <v>0</v>
      </c>
      <c r="Q140" s="45">
        <f t="shared" si="17"/>
        <v>0</v>
      </c>
    </row>
    <row r="141" spans="1:17" x14ac:dyDescent="0.45">
      <c r="A141" s="47">
        <v>159</v>
      </c>
      <c r="B141" s="49" t="s">
        <v>88</v>
      </c>
      <c r="C141" s="49" t="s">
        <v>141</v>
      </c>
      <c r="D141" s="46" t="s">
        <v>178</v>
      </c>
      <c r="E141" s="52" t="s">
        <v>230</v>
      </c>
      <c r="F141" s="51" t="s">
        <v>283</v>
      </c>
      <c r="G141" s="46" t="s">
        <v>42</v>
      </c>
      <c r="H141" s="46">
        <v>90</v>
      </c>
      <c r="I141" s="46">
        <v>20</v>
      </c>
      <c r="J141" s="50">
        <f t="shared" si="12"/>
        <v>7.5</v>
      </c>
      <c r="K141" s="50">
        <f t="shared" si="13"/>
        <v>1.6666666666666667</v>
      </c>
      <c r="L141" s="49">
        <v>1</v>
      </c>
      <c r="M141" s="50">
        <f t="shared" si="14"/>
        <v>12.5</v>
      </c>
      <c r="N141" s="49">
        <v>0</v>
      </c>
      <c r="O141" s="45">
        <f t="shared" si="15"/>
        <v>0</v>
      </c>
      <c r="P141" s="45">
        <f t="shared" si="16"/>
        <v>0</v>
      </c>
      <c r="Q141" s="45">
        <f t="shared" si="17"/>
        <v>0</v>
      </c>
    </row>
    <row r="142" spans="1:17" x14ac:dyDescent="0.45">
      <c r="A142" s="47">
        <v>160</v>
      </c>
      <c r="B142" s="49" t="s">
        <v>89</v>
      </c>
      <c r="C142" s="49" t="s">
        <v>142</v>
      </c>
      <c r="D142" s="46" t="s">
        <v>179</v>
      </c>
      <c r="E142" s="52" t="s">
        <v>231</v>
      </c>
      <c r="F142" s="51" t="s">
        <v>284</v>
      </c>
      <c r="G142" s="46" t="s">
        <v>290</v>
      </c>
      <c r="H142" s="46">
        <v>17</v>
      </c>
      <c r="I142" s="46">
        <v>37</v>
      </c>
      <c r="J142" s="50">
        <f t="shared" si="12"/>
        <v>1.4166666666666667</v>
      </c>
      <c r="K142" s="50">
        <f t="shared" si="13"/>
        <v>3.0833333333333335</v>
      </c>
      <c r="L142" s="49">
        <v>1</v>
      </c>
      <c r="M142" s="50">
        <f t="shared" si="14"/>
        <v>4.3680555555555562</v>
      </c>
      <c r="N142" s="49">
        <v>0</v>
      </c>
      <c r="O142" s="45">
        <f t="shared" si="15"/>
        <v>0</v>
      </c>
      <c r="P142" s="45">
        <f t="shared" si="16"/>
        <v>0</v>
      </c>
      <c r="Q142" s="45">
        <f t="shared" si="17"/>
        <v>0</v>
      </c>
    </row>
    <row r="143" spans="1:17" x14ac:dyDescent="0.45">
      <c r="A143" s="51">
        <v>161</v>
      </c>
      <c r="B143" s="49" t="s">
        <v>89</v>
      </c>
      <c r="C143" s="49" t="s">
        <v>142</v>
      </c>
      <c r="D143" s="46" t="s">
        <v>179</v>
      </c>
      <c r="E143" s="52" t="s">
        <v>231</v>
      </c>
      <c r="F143" s="51" t="s">
        <v>284</v>
      </c>
      <c r="G143" s="46" t="s">
        <v>290</v>
      </c>
      <c r="H143" s="46">
        <v>23</v>
      </c>
      <c r="I143" s="46">
        <v>36</v>
      </c>
      <c r="J143" s="50">
        <f t="shared" si="12"/>
        <v>1.9166666666666667</v>
      </c>
      <c r="K143" s="50">
        <f t="shared" si="13"/>
        <v>3</v>
      </c>
      <c r="L143" s="49">
        <v>1</v>
      </c>
      <c r="M143" s="50">
        <f t="shared" si="14"/>
        <v>5.75</v>
      </c>
      <c r="N143" s="49">
        <v>0</v>
      </c>
      <c r="O143" s="45">
        <f t="shared" si="15"/>
        <v>0</v>
      </c>
      <c r="P143" s="45">
        <f t="shared" si="16"/>
        <v>0</v>
      </c>
      <c r="Q143" s="45">
        <f t="shared" si="17"/>
        <v>0</v>
      </c>
    </row>
    <row r="144" spans="1:17" x14ac:dyDescent="0.45">
      <c r="A144" s="47">
        <v>162</v>
      </c>
      <c r="B144" s="49" t="s">
        <v>89</v>
      </c>
      <c r="C144" s="49" t="s">
        <v>142</v>
      </c>
      <c r="D144" s="46" t="s">
        <v>179</v>
      </c>
      <c r="E144" s="52" t="s">
        <v>231</v>
      </c>
      <c r="F144" s="51" t="s">
        <v>284</v>
      </c>
      <c r="G144" s="46" t="s">
        <v>290</v>
      </c>
      <c r="H144" s="46">
        <v>96</v>
      </c>
      <c r="I144" s="46">
        <v>37</v>
      </c>
      <c r="J144" s="50">
        <f t="shared" si="12"/>
        <v>8</v>
      </c>
      <c r="K144" s="50">
        <f t="shared" si="13"/>
        <v>3.0833333333333335</v>
      </c>
      <c r="L144" s="49">
        <v>1</v>
      </c>
      <c r="M144" s="50">
        <f t="shared" si="14"/>
        <v>24.666666666666668</v>
      </c>
      <c r="N144" s="49">
        <v>0</v>
      </c>
      <c r="O144" s="45">
        <f t="shared" si="15"/>
        <v>0</v>
      </c>
      <c r="P144" s="45">
        <f t="shared" si="16"/>
        <v>0</v>
      </c>
      <c r="Q144" s="45">
        <f t="shared" si="17"/>
        <v>0</v>
      </c>
    </row>
    <row r="145" spans="1:17" x14ac:dyDescent="0.45">
      <c r="A145" s="47">
        <v>163</v>
      </c>
      <c r="B145" s="49" t="s">
        <v>89</v>
      </c>
      <c r="C145" s="49" t="s">
        <v>142</v>
      </c>
      <c r="D145" s="46" t="s">
        <v>179</v>
      </c>
      <c r="E145" s="52" t="s">
        <v>231</v>
      </c>
      <c r="F145" s="51" t="s">
        <v>284</v>
      </c>
      <c r="G145" s="46" t="s">
        <v>42</v>
      </c>
      <c r="H145" s="46">
        <v>107</v>
      </c>
      <c r="I145" s="46">
        <v>36</v>
      </c>
      <c r="J145" s="50">
        <f t="shared" si="12"/>
        <v>8.9166666666666661</v>
      </c>
      <c r="K145" s="50">
        <f t="shared" si="13"/>
        <v>3</v>
      </c>
      <c r="L145" s="49">
        <v>1</v>
      </c>
      <c r="M145" s="50">
        <f t="shared" si="14"/>
        <v>26.75</v>
      </c>
      <c r="N145" s="49">
        <v>0</v>
      </c>
      <c r="O145" s="45">
        <f t="shared" si="15"/>
        <v>0</v>
      </c>
      <c r="P145" s="45">
        <f t="shared" si="16"/>
        <v>0</v>
      </c>
      <c r="Q145" s="45">
        <f t="shared" si="17"/>
        <v>0</v>
      </c>
    </row>
    <row r="146" spans="1:17" x14ac:dyDescent="0.45">
      <c r="A146" s="51">
        <v>164</v>
      </c>
      <c r="B146" s="49" t="s">
        <v>90</v>
      </c>
      <c r="C146" s="49" t="s">
        <v>143</v>
      </c>
      <c r="D146" s="46" t="s">
        <v>180</v>
      </c>
      <c r="E146" s="52" t="s">
        <v>232</v>
      </c>
      <c r="F146" s="51" t="s">
        <v>285</v>
      </c>
      <c r="G146" s="46" t="s">
        <v>42</v>
      </c>
      <c r="H146" s="46">
        <v>78</v>
      </c>
      <c r="I146" s="46">
        <v>48</v>
      </c>
      <c r="J146" s="50">
        <f t="shared" si="12"/>
        <v>6.5</v>
      </c>
      <c r="K146" s="50">
        <f t="shared" si="13"/>
        <v>4</v>
      </c>
      <c r="L146" s="49">
        <v>1</v>
      </c>
      <c r="M146" s="50">
        <f t="shared" si="14"/>
        <v>26</v>
      </c>
      <c r="N146" s="49">
        <v>0</v>
      </c>
      <c r="O146" s="45">
        <f t="shared" si="15"/>
        <v>0</v>
      </c>
      <c r="P146" s="45">
        <f t="shared" si="16"/>
        <v>0</v>
      </c>
      <c r="Q146" s="45">
        <f t="shared" si="17"/>
        <v>0</v>
      </c>
    </row>
    <row r="147" spans="1:17" x14ac:dyDescent="0.45">
      <c r="A147" s="47">
        <v>166</v>
      </c>
      <c r="B147" s="53" t="s">
        <v>91</v>
      </c>
      <c r="C147" s="53" t="s">
        <v>144</v>
      </c>
      <c r="D147" s="46" t="s">
        <v>179</v>
      </c>
      <c r="E147" s="52" t="s">
        <v>233</v>
      </c>
      <c r="F147" s="51" t="s">
        <v>286</v>
      </c>
      <c r="G147" s="46" t="s">
        <v>42</v>
      </c>
      <c r="H147" s="46">
        <v>48</v>
      </c>
      <c r="I147" s="46">
        <v>48</v>
      </c>
      <c r="J147" s="50">
        <f t="shared" si="12"/>
        <v>4</v>
      </c>
      <c r="K147" s="50">
        <f t="shared" si="13"/>
        <v>4</v>
      </c>
      <c r="L147" s="49">
        <v>1</v>
      </c>
      <c r="M147" s="50">
        <f t="shared" si="14"/>
        <v>16</v>
      </c>
      <c r="N147" s="49">
        <v>0</v>
      </c>
      <c r="O147" s="45">
        <f t="shared" si="15"/>
        <v>0</v>
      </c>
      <c r="P147" s="45">
        <f t="shared" si="16"/>
        <v>0</v>
      </c>
      <c r="Q147" s="45">
        <f t="shared" si="17"/>
        <v>0</v>
      </c>
    </row>
    <row r="148" spans="1:17" x14ac:dyDescent="0.45">
      <c r="A148" s="51">
        <v>167</v>
      </c>
      <c r="B148" s="53" t="s">
        <v>91</v>
      </c>
      <c r="C148" s="53" t="s">
        <v>144</v>
      </c>
      <c r="D148" s="46" t="s">
        <v>179</v>
      </c>
      <c r="E148" s="52" t="s">
        <v>233</v>
      </c>
      <c r="F148" s="51" t="s">
        <v>286</v>
      </c>
      <c r="G148" s="46" t="s">
        <v>42</v>
      </c>
      <c r="H148" s="46">
        <v>48</v>
      </c>
      <c r="I148" s="46">
        <v>48</v>
      </c>
      <c r="J148" s="50">
        <f t="shared" si="12"/>
        <v>4</v>
      </c>
      <c r="K148" s="50">
        <f t="shared" si="13"/>
        <v>4</v>
      </c>
      <c r="L148" s="49">
        <v>1</v>
      </c>
      <c r="M148" s="50">
        <f t="shared" si="14"/>
        <v>16</v>
      </c>
      <c r="N148" s="49">
        <v>0</v>
      </c>
      <c r="O148" s="45">
        <f t="shared" si="15"/>
        <v>0</v>
      </c>
      <c r="P148" s="45">
        <f t="shared" si="16"/>
        <v>0</v>
      </c>
      <c r="Q148" s="45">
        <f t="shared" si="17"/>
        <v>0</v>
      </c>
    </row>
    <row r="149" spans="1:17" x14ac:dyDescent="0.45">
      <c r="A149" s="47">
        <v>168</v>
      </c>
      <c r="B149" s="53" t="s">
        <v>91</v>
      </c>
      <c r="C149" s="53" t="s">
        <v>144</v>
      </c>
      <c r="D149" s="46" t="s">
        <v>179</v>
      </c>
      <c r="E149" s="52" t="s">
        <v>233</v>
      </c>
      <c r="F149" s="51" t="s">
        <v>286</v>
      </c>
      <c r="G149" s="46" t="s">
        <v>42</v>
      </c>
      <c r="H149" s="46">
        <v>67</v>
      </c>
      <c r="I149" s="46">
        <v>29</v>
      </c>
      <c r="J149" s="50">
        <f t="shared" si="12"/>
        <v>5.583333333333333</v>
      </c>
      <c r="K149" s="50">
        <f t="shared" si="13"/>
        <v>2.4166666666666665</v>
      </c>
      <c r="L149" s="49">
        <v>1</v>
      </c>
      <c r="M149" s="50">
        <f t="shared" si="14"/>
        <v>13.493055555555554</v>
      </c>
      <c r="N149" s="49">
        <v>0</v>
      </c>
      <c r="O149" s="45">
        <f t="shared" si="15"/>
        <v>0</v>
      </c>
      <c r="P149" s="45">
        <f t="shared" si="16"/>
        <v>0</v>
      </c>
      <c r="Q149" s="45">
        <f t="shared" si="17"/>
        <v>0</v>
      </c>
    </row>
    <row r="150" spans="1:17" x14ac:dyDescent="0.45">
      <c r="A150" s="47">
        <v>169</v>
      </c>
      <c r="B150" s="53" t="s">
        <v>91</v>
      </c>
      <c r="C150" s="53" t="s">
        <v>144</v>
      </c>
      <c r="D150" s="46" t="s">
        <v>179</v>
      </c>
      <c r="E150" s="52" t="s">
        <v>233</v>
      </c>
      <c r="F150" s="51" t="s">
        <v>286</v>
      </c>
      <c r="G150" s="46" t="s">
        <v>42</v>
      </c>
      <c r="H150" s="46">
        <v>113</v>
      </c>
      <c r="I150" s="46">
        <v>29</v>
      </c>
      <c r="J150" s="50">
        <f t="shared" si="12"/>
        <v>9.4166666666666661</v>
      </c>
      <c r="K150" s="50">
        <f t="shared" si="13"/>
        <v>2.4166666666666665</v>
      </c>
      <c r="L150" s="49">
        <v>1</v>
      </c>
      <c r="M150" s="50">
        <f t="shared" si="14"/>
        <v>22.756944444444443</v>
      </c>
      <c r="N150" s="49">
        <v>0</v>
      </c>
      <c r="O150" s="45">
        <f t="shared" si="15"/>
        <v>0</v>
      </c>
      <c r="P150" s="45">
        <f t="shared" si="16"/>
        <v>0</v>
      </c>
      <c r="Q150" s="45">
        <f t="shared" si="17"/>
        <v>0</v>
      </c>
    </row>
    <row r="151" spans="1:17" x14ac:dyDescent="0.45">
      <c r="A151" s="51">
        <v>170</v>
      </c>
      <c r="B151" s="53" t="s">
        <v>92</v>
      </c>
      <c r="C151" s="53" t="s">
        <v>145</v>
      </c>
      <c r="D151" s="46" t="s">
        <v>177</v>
      </c>
      <c r="E151" s="52" t="s">
        <v>234</v>
      </c>
      <c r="F151" s="51" t="s">
        <v>287</v>
      </c>
      <c r="G151" s="46" t="s">
        <v>42</v>
      </c>
      <c r="H151" s="46">
        <v>48</v>
      </c>
      <c r="I151" s="46">
        <v>96</v>
      </c>
      <c r="J151" s="50">
        <f t="shared" si="12"/>
        <v>4</v>
      </c>
      <c r="K151" s="50">
        <f t="shared" si="13"/>
        <v>8</v>
      </c>
      <c r="L151" s="49">
        <v>1</v>
      </c>
      <c r="M151" s="50">
        <f t="shared" si="14"/>
        <v>32</v>
      </c>
      <c r="N151" s="49">
        <v>0</v>
      </c>
      <c r="O151" s="45">
        <f t="shared" si="15"/>
        <v>0</v>
      </c>
      <c r="P151" s="45">
        <f t="shared" si="16"/>
        <v>0</v>
      </c>
      <c r="Q151" s="45">
        <f t="shared" si="17"/>
        <v>0</v>
      </c>
    </row>
    <row r="152" spans="1:17" x14ac:dyDescent="0.45">
      <c r="A152" s="47">
        <v>171</v>
      </c>
      <c r="B152" s="53" t="s">
        <v>92</v>
      </c>
      <c r="C152" s="53" t="s">
        <v>145</v>
      </c>
      <c r="D152" s="46" t="s">
        <v>177</v>
      </c>
      <c r="E152" s="52" t="s">
        <v>234</v>
      </c>
      <c r="F152" s="51" t="s">
        <v>287</v>
      </c>
      <c r="G152" s="46" t="s">
        <v>334</v>
      </c>
      <c r="H152" s="46">
        <v>96</v>
      </c>
      <c r="I152" s="46">
        <v>48</v>
      </c>
      <c r="J152" s="50">
        <f t="shared" si="12"/>
        <v>8</v>
      </c>
      <c r="K152" s="50">
        <f t="shared" si="13"/>
        <v>4</v>
      </c>
      <c r="L152" s="49">
        <v>1</v>
      </c>
      <c r="M152" s="50">
        <f t="shared" si="14"/>
        <v>32</v>
      </c>
      <c r="N152" s="49">
        <v>0</v>
      </c>
      <c r="O152" s="45">
        <f t="shared" si="15"/>
        <v>0</v>
      </c>
      <c r="P152" s="45">
        <f t="shared" si="16"/>
        <v>0</v>
      </c>
      <c r="Q152" s="45">
        <f t="shared" si="17"/>
        <v>0</v>
      </c>
    </row>
    <row r="153" spans="1:17" x14ac:dyDescent="0.45">
      <c r="A153" s="51">
        <v>173</v>
      </c>
      <c r="B153" s="53" t="s">
        <v>93</v>
      </c>
      <c r="C153" s="53" t="s">
        <v>146</v>
      </c>
      <c r="D153" s="46" t="s">
        <v>179</v>
      </c>
      <c r="E153" s="52" t="s">
        <v>235</v>
      </c>
      <c r="F153" s="51" t="s">
        <v>288</v>
      </c>
      <c r="G153" s="46" t="s">
        <v>292</v>
      </c>
      <c r="H153" s="46">
        <v>21</v>
      </c>
      <c r="I153" s="46">
        <v>77</v>
      </c>
      <c r="J153" s="50">
        <f t="shared" si="12"/>
        <v>1.75</v>
      </c>
      <c r="K153" s="50">
        <f t="shared" si="13"/>
        <v>6.416666666666667</v>
      </c>
      <c r="L153" s="49">
        <v>1</v>
      </c>
      <c r="M153" s="50">
        <f t="shared" si="14"/>
        <v>11.229166666666668</v>
      </c>
      <c r="N153" s="49">
        <v>0</v>
      </c>
      <c r="O153" s="45">
        <f t="shared" si="15"/>
        <v>0</v>
      </c>
      <c r="P153" s="45">
        <f t="shared" si="16"/>
        <v>0</v>
      </c>
      <c r="Q153" s="45">
        <f t="shared" si="17"/>
        <v>0</v>
      </c>
    </row>
    <row r="154" spans="1:17" x14ac:dyDescent="0.45">
      <c r="A154" s="47">
        <v>174</v>
      </c>
      <c r="B154" s="53" t="s">
        <v>93</v>
      </c>
      <c r="C154" s="53" t="s">
        <v>146</v>
      </c>
      <c r="D154" s="46" t="s">
        <v>179</v>
      </c>
      <c r="E154" s="52" t="s">
        <v>235</v>
      </c>
      <c r="F154" s="51" t="s">
        <v>288</v>
      </c>
      <c r="G154" s="46" t="s">
        <v>292</v>
      </c>
      <c r="H154" s="46">
        <v>32</v>
      </c>
      <c r="I154" s="46">
        <v>77</v>
      </c>
      <c r="J154" s="50">
        <f t="shared" si="12"/>
        <v>2.6666666666666665</v>
      </c>
      <c r="K154" s="50">
        <f t="shared" si="13"/>
        <v>6.416666666666667</v>
      </c>
      <c r="L154" s="49">
        <v>1</v>
      </c>
      <c r="M154" s="50">
        <f t="shared" si="14"/>
        <v>17.111111111111111</v>
      </c>
      <c r="N154" s="49">
        <v>0</v>
      </c>
      <c r="O154" s="45">
        <f t="shared" si="15"/>
        <v>0</v>
      </c>
      <c r="P154" s="45">
        <f t="shared" si="16"/>
        <v>0</v>
      </c>
      <c r="Q154" s="45">
        <f t="shared" si="17"/>
        <v>0</v>
      </c>
    </row>
    <row r="155" spans="1:17" x14ac:dyDescent="0.45">
      <c r="A155" s="51">
        <v>176</v>
      </c>
      <c r="B155" s="53" t="s">
        <v>94</v>
      </c>
      <c r="C155" s="53" t="s">
        <v>147</v>
      </c>
      <c r="D155" s="46" t="s">
        <v>181</v>
      </c>
      <c r="E155" s="52" t="s">
        <v>236</v>
      </c>
      <c r="F155" s="51" t="s">
        <v>289</v>
      </c>
      <c r="G155" s="46" t="s">
        <v>42</v>
      </c>
      <c r="H155" s="46">
        <v>81</v>
      </c>
      <c r="I155" s="46">
        <v>29</v>
      </c>
      <c r="J155" s="50">
        <f t="shared" si="12"/>
        <v>6.75</v>
      </c>
      <c r="K155" s="50">
        <f t="shared" si="13"/>
        <v>2.4166666666666665</v>
      </c>
      <c r="L155" s="49">
        <v>1</v>
      </c>
      <c r="M155" s="50">
        <f t="shared" si="14"/>
        <v>16.3125</v>
      </c>
      <c r="N155" s="49">
        <v>0</v>
      </c>
      <c r="O155" s="45">
        <f t="shared" si="15"/>
        <v>0</v>
      </c>
      <c r="P155" s="45">
        <f t="shared" si="16"/>
        <v>0</v>
      </c>
      <c r="Q155" s="45">
        <f t="shared" si="17"/>
        <v>0</v>
      </c>
    </row>
    <row r="156" spans="1:17" x14ac:dyDescent="0.45">
      <c r="A156" s="47" t="s">
        <v>291</v>
      </c>
      <c r="B156" s="53" t="s">
        <v>94</v>
      </c>
      <c r="C156" s="53" t="s">
        <v>147</v>
      </c>
      <c r="D156" s="46" t="s">
        <v>179</v>
      </c>
      <c r="E156" s="52" t="s">
        <v>237</v>
      </c>
      <c r="F156" s="51" t="s">
        <v>289</v>
      </c>
      <c r="G156" s="46" t="s">
        <v>42</v>
      </c>
      <c r="H156" s="46">
        <v>16.5</v>
      </c>
      <c r="I156" s="46">
        <v>32</v>
      </c>
      <c r="J156" s="50">
        <f t="shared" si="12"/>
        <v>1.375</v>
      </c>
      <c r="K156" s="50">
        <f t="shared" si="13"/>
        <v>2.6666666666666665</v>
      </c>
      <c r="L156" s="49">
        <v>1</v>
      </c>
      <c r="M156" s="50">
        <f t="shared" si="14"/>
        <v>3.6666666666666665</v>
      </c>
      <c r="N156" s="49">
        <v>0</v>
      </c>
      <c r="O156" s="45">
        <f t="shared" si="15"/>
        <v>0</v>
      </c>
      <c r="P156" s="45">
        <f t="shared" si="16"/>
        <v>0</v>
      </c>
      <c r="Q156" s="45">
        <f t="shared" si="17"/>
        <v>0</v>
      </c>
    </row>
    <row r="157" spans="1:17" s="43" customFormat="1" ht="13.15" x14ac:dyDescent="0.4">
      <c r="A157" s="47">
        <v>1</v>
      </c>
      <c r="B157" s="49" t="s">
        <v>294</v>
      </c>
      <c r="C157" s="49" t="s">
        <v>295</v>
      </c>
      <c r="D157" s="46" t="s">
        <v>296</v>
      </c>
      <c r="E157" s="52" t="s">
        <v>297</v>
      </c>
      <c r="F157" s="46" t="s">
        <v>298</v>
      </c>
      <c r="G157" s="46" t="s">
        <v>42</v>
      </c>
      <c r="H157" s="46">
        <v>47</v>
      </c>
      <c r="I157" s="46">
        <v>46</v>
      </c>
      <c r="J157" s="49">
        <f>H157/12</f>
        <v>3.9166666666666665</v>
      </c>
      <c r="K157" s="49">
        <f>I157/12</f>
        <v>3.8333333333333335</v>
      </c>
      <c r="L157" s="49">
        <v>1</v>
      </c>
      <c r="M157" s="50">
        <f t="shared" si="14"/>
        <v>15.013888888888889</v>
      </c>
      <c r="N157" s="49">
        <v>0</v>
      </c>
      <c r="O157" s="45">
        <f t="shared" si="15"/>
        <v>0</v>
      </c>
      <c r="P157" s="45">
        <f t="shared" si="16"/>
        <v>0</v>
      </c>
      <c r="Q157" s="45">
        <f t="shared" si="17"/>
        <v>0</v>
      </c>
    </row>
    <row r="158" spans="1:17" s="38" customFormat="1" ht="13.15" x14ac:dyDescent="0.4">
      <c r="A158" s="51">
        <v>2</v>
      </c>
      <c r="B158" s="49" t="s">
        <v>294</v>
      </c>
      <c r="C158" s="49" t="s">
        <v>295</v>
      </c>
      <c r="D158" s="46" t="s">
        <v>296</v>
      </c>
      <c r="E158" s="52" t="s">
        <v>297</v>
      </c>
      <c r="F158" s="46" t="s">
        <v>298</v>
      </c>
      <c r="G158" s="46" t="s">
        <v>42</v>
      </c>
      <c r="H158" s="46">
        <v>96</v>
      </c>
      <c r="I158" s="46">
        <v>19</v>
      </c>
      <c r="J158" s="49">
        <f t="shared" ref="J158:K182" si="18">H158/12</f>
        <v>8</v>
      </c>
      <c r="K158" s="49">
        <f t="shared" si="18"/>
        <v>1.5833333333333333</v>
      </c>
      <c r="L158" s="49">
        <v>1</v>
      </c>
      <c r="M158" s="50">
        <f t="shared" si="14"/>
        <v>12.666666666666666</v>
      </c>
      <c r="N158" s="49">
        <v>0</v>
      </c>
      <c r="O158" s="45">
        <f t="shared" si="15"/>
        <v>0</v>
      </c>
      <c r="P158" s="45">
        <f t="shared" si="16"/>
        <v>0</v>
      </c>
      <c r="Q158" s="45">
        <f t="shared" si="17"/>
        <v>0</v>
      </c>
    </row>
    <row r="159" spans="1:17" s="38" customFormat="1" ht="13.15" x14ac:dyDescent="0.4">
      <c r="A159" s="47">
        <v>3</v>
      </c>
      <c r="B159" s="49" t="s">
        <v>294</v>
      </c>
      <c r="C159" s="49" t="s">
        <v>295</v>
      </c>
      <c r="D159" s="46" t="s">
        <v>296</v>
      </c>
      <c r="E159" s="52" t="s">
        <v>297</v>
      </c>
      <c r="F159" s="46" t="s">
        <v>298</v>
      </c>
      <c r="G159" s="46" t="s">
        <v>42</v>
      </c>
      <c r="H159" s="46">
        <v>96</v>
      </c>
      <c r="I159" s="46">
        <v>19</v>
      </c>
      <c r="J159" s="49">
        <f t="shared" si="18"/>
        <v>8</v>
      </c>
      <c r="K159" s="49">
        <f t="shared" si="18"/>
        <v>1.5833333333333333</v>
      </c>
      <c r="L159" s="49">
        <v>1</v>
      </c>
      <c r="M159" s="50">
        <f t="shared" si="14"/>
        <v>12.666666666666666</v>
      </c>
      <c r="N159" s="49">
        <v>0</v>
      </c>
      <c r="O159" s="45">
        <f t="shared" si="15"/>
        <v>0</v>
      </c>
      <c r="P159" s="45">
        <f t="shared" si="16"/>
        <v>0</v>
      </c>
      <c r="Q159" s="45">
        <f t="shared" si="17"/>
        <v>0</v>
      </c>
    </row>
    <row r="160" spans="1:17" s="38" customFormat="1" ht="13.15" x14ac:dyDescent="0.4">
      <c r="A160" s="51">
        <v>4</v>
      </c>
      <c r="B160" s="49" t="s">
        <v>299</v>
      </c>
      <c r="C160" s="49" t="s">
        <v>300</v>
      </c>
      <c r="D160" s="46" t="s">
        <v>301</v>
      </c>
      <c r="E160" s="52" t="s">
        <v>302</v>
      </c>
      <c r="F160" s="46" t="s">
        <v>303</v>
      </c>
      <c r="G160" s="46" t="s">
        <v>42</v>
      </c>
      <c r="H160" s="46">
        <v>48</v>
      </c>
      <c r="I160" s="46">
        <v>30</v>
      </c>
      <c r="J160" s="49">
        <f t="shared" si="18"/>
        <v>4</v>
      </c>
      <c r="K160" s="49">
        <f t="shared" si="18"/>
        <v>2.5</v>
      </c>
      <c r="L160" s="49">
        <v>1</v>
      </c>
      <c r="M160" s="50">
        <f t="shared" si="14"/>
        <v>10</v>
      </c>
      <c r="N160" s="49">
        <v>0</v>
      </c>
      <c r="O160" s="45">
        <f t="shared" si="15"/>
        <v>0</v>
      </c>
      <c r="P160" s="45">
        <f t="shared" si="16"/>
        <v>0</v>
      </c>
      <c r="Q160" s="45">
        <f t="shared" si="17"/>
        <v>0</v>
      </c>
    </row>
    <row r="161" spans="1:17" s="38" customFormat="1" ht="13.15" x14ac:dyDescent="0.4">
      <c r="A161" s="47">
        <v>5</v>
      </c>
      <c r="B161" s="49" t="s">
        <v>299</v>
      </c>
      <c r="C161" s="49" t="s">
        <v>300</v>
      </c>
      <c r="D161" s="46" t="s">
        <v>301</v>
      </c>
      <c r="E161" s="52" t="s">
        <v>302</v>
      </c>
      <c r="F161" s="46" t="s">
        <v>303</v>
      </c>
      <c r="G161" s="46" t="s">
        <v>336</v>
      </c>
      <c r="H161" s="46">
        <v>64</v>
      </c>
      <c r="I161" s="46">
        <v>36</v>
      </c>
      <c r="J161" s="50">
        <f t="shared" si="18"/>
        <v>5.333333333333333</v>
      </c>
      <c r="K161" s="50">
        <f t="shared" si="18"/>
        <v>3</v>
      </c>
      <c r="L161" s="49">
        <v>1</v>
      </c>
      <c r="M161" s="50">
        <f t="shared" si="14"/>
        <v>16</v>
      </c>
      <c r="N161" s="49">
        <v>0</v>
      </c>
      <c r="O161" s="45">
        <f t="shared" si="15"/>
        <v>0</v>
      </c>
      <c r="P161" s="45">
        <f t="shared" si="16"/>
        <v>0</v>
      </c>
      <c r="Q161" s="45">
        <f t="shared" si="17"/>
        <v>0</v>
      </c>
    </row>
    <row r="162" spans="1:17" x14ac:dyDescent="0.45">
      <c r="A162" s="51">
        <v>6</v>
      </c>
      <c r="B162" s="49" t="s">
        <v>299</v>
      </c>
      <c r="C162" s="49" t="s">
        <v>300</v>
      </c>
      <c r="D162" s="46" t="s">
        <v>301</v>
      </c>
      <c r="E162" s="52" t="s">
        <v>302</v>
      </c>
      <c r="F162" s="46" t="s">
        <v>303</v>
      </c>
      <c r="G162" s="46" t="s">
        <v>42</v>
      </c>
      <c r="H162" s="46">
        <v>96</v>
      </c>
      <c r="I162" s="46">
        <v>38</v>
      </c>
      <c r="J162" s="49">
        <f t="shared" si="18"/>
        <v>8</v>
      </c>
      <c r="K162" s="49">
        <f t="shared" si="18"/>
        <v>3.1666666666666665</v>
      </c>
      <c r="L162" s="49">
        <v>1</v>
      </c>
      <c r="M162" s="50">
        <f t="shared" si="14"/>
        <v>25.333333333333332</v>
      </c>
      <c r="N162" s="49">
        <v>0</v>
      </c>
      <c r="O162" s="45">
        <f t="shared" si="15"/>
        <v>0</v>
      </c>
      <c r="P162" s="45">
        <f t="shared" si="16"/>
        <v>0</v>
      </c>
      <c r="Q162" s="45">
        <f t="shared" si="17"/>
        <v>0</v>
      </c>
    </row>
    <row r="163" spans="1:17" x14ac:dyDescent="0.45">
      <c r="A163" s="47">
        <v>7</v>
      </c>
      <c r="B163" s="49" t="s">
        <v>299</v>
      </c>
      <c r="C163" s="49" t="s">
        <v>300</v>
      </c>
      <c r="D163" s="46" t="s">
        <v>301</v>
      </c>
      <c r="E163" s="52" t="s">
        <v>302</v>
      </c>
      <c r="F163" s="46" t="s">
        <v>303</v>
      </c>
      <c r="G163" s="46" t="s">
        <v>42</v>
      </c>
      <c r="H163" s="46">
        <v>109</v>
      </c>
      <c r="I163" s="46">
        <v>122</v>
      </c>
      <c r="J163" s="49">
        <f t="shared" si="18"/>
        <v>9.0833333333333339</v>
      </c>
      <c r="K163" s="49">
        <f t="shared" si="18"/>
        <v>10.166666666666666</v>
      </c>
      <c r="L163" s="49">
        <v>1</v>
      </c>
      <c r="M163" s="50">
        <f t="shared" si="14"/>
        <v>92.347222222222229</v>
      </c>
      <c r="N163" s="49">
        <v>0</v>
      </c>
      <c r="O163" s="45">
        <f t="shared" si="15"/>
        <v>0</v>
      </c>
      <c r="P163" s="45">
        <f t="shared" si="16"/>
        <v>0</v>
      </c>
      <c r="Q163" s="45">
        <f t="shared" si="17"/>
        <v>0</v>
      </c>
    </row>
    <row r="164" spans="1:17" x14ac:dyDescent="0.45">
      <c r="A164" s="51">
        <v>8</v>
      </c>
      <c r="B164" s="49" t="s">
        <v>304</v>
      </c>
      <c r="C164" s="49" t="s">
        <v>305</v>
      </c>
      <c r="D164" s="46" t="s">
        <v>306</v>
      </c>
      <c r="E164" s="52" t="s">
        <v>307</v>
      </c>
      <c r="F164" s="46" t="s">
        <v>308</v>
      </c>
      <c r="G164" s="46" t="s">
        <v>42</v>
      </c>
      <c r="H164" s="46">
        <v>87</v>
      </c>
      <c r="I164" s="46">
        <v>24</v>
      </c>
      <c r="J164" s="49">
        <f t="shared" si="18"/>
        <v>7.25</v>
      </c>
      <c r="K164" s="49">
        <f t="shared" si="18"/>
        <v>2</v>
      </c>
      <c r="L164" s="49">
        <v>1</v>
      </c>
      <c r="M164" s="50">
        <f t="shared" si="14"/>
        <v>14.5</v>
      </c>
      <c r="N164" s="49">
        <v>0</v>
      </c>
      <c r="O164" s="45">
        <f t="shared" si="15"/>
        <v>0</v>
      </c>
      <c r="P164" s="45">
        <f t="shared" si="16"/>
        <v>0</v>
      </c>
      <c r="Q164" s="45">
        <f t="shared" si="17"/>
        <v>0</v>
      </c>
    </row>
    <row r="165" spans="1:17" x14ac:dyDescent="0.45">
      <c r="A165" s="47">
        <v>9</v>
      </c>
      <c r="B165" s="49" t="s">
        <v>304</v>
      </c>
      <c r="C165" s="49" t="s">
        <v>305</v>
      </c>
      <c r="D165" s="46" t="s">
        <v>306</v>
      </c>
      <c r="E165" s="52" t="s">
        <v>307</v>
      </c>
      <c r="F165" s="46" t="s">
        <v>308</v>
      </c>
      <c r="G165" s="46" t="s">
        <v>42</v>
      </c>
      <c r="H165" s="46">
        <v>89</v>
      </c>
      <c r="I165" s="46">
        <v>112</v>
      </c>
      <c r="J165" s="49">
        <f t="shared" si="18"/>
        <v>7.416666666666667</v>
      </c>
      <c r="K165" s="49">
        <f t="shared" si="18"/>
        <v>9.3333333333333339</v>
      </c>
      <c r="L165" s="49">
        <v>1</v>
      </c>
      <c r="M165" s="50">
        <f t="shared" si="14"/>
        <v>69.222222222222229</v>
      </c>
      <c r="N165" s="49">
        <v>0</v>
      </c>
      <c r="O165" s="45">
        <f t="shared" si="15"/>
        <v>0</v>
      </c>
      <c r="P165" s="45">
        <f t="shared" si="16"/>
        <v>0</v>
      </c>
      <c r="Q165" s="45">
        <f t="shared" si="17"/>
        <v>0</v>
      </c>
    </row>
    <row r="166" spans="1:17" x14ac:dyDescent="0.45">
      <c r="A166" s="51">
        <v>10</v>
      </c>
      <c r="B166" s="49" t="s">
        <v>304</v>
      </c>
      <c r="C166" s="49" t="s">
        <v>305</v>
      </c>
      <c r="D166" s="46" t="s">
        <v>306</v>
      </c>
      <c r="E166" s="52" t="s">
        <v>307</v>
      </c>
      <c r="F166" s="46" t="s">
        <v>308</v>
      </c>
      <c r="G166" s="46" t="s">
        <v>42</v>
      </c>
      <c r="H166" s="46">
        <v>98</v>
      </c>
      <c r="I166" s="46">
        <v>30</v>
      </c>
      <c r="J166" s="49">
        <f t="shared" si="18"/>
        <v>8.1666666666666661</v>
      </c>
      <c r="K166" s="49">
        <f t="shared" si="18"/>
        <v>2.5</v>
      </c>
      <c r="L166" s="49">
        <v>1</v>
      </c>
      <c r="M166" s="50">
        <f t="shared" si="14"/>
        <v>20.416666666666664</v>
      </c>
      <c r="N166" s="49">
        <v>0</v>
      </c>
      <c r="O166" s="45">
        <f t="shared" si="15"/>
        <v>0</v>
      </c>
      <c r="P166" s="45">
        <f t="shared" si="16"/>
        <v>0</v>
      </c>
      <c r="Q166" s="45">
        <f t="shared" si="17"/>
        <v>0</v>
      </c>
    </row>
    <row r="167" spans="1:17" x14ac:dyDescent="0.45">
      <c r="A167" s="47">
        <v>11</v>
      </c>
      <c r="B167" s="53" t="s">
        <v>309</v>
      </c>
      <c r="C167" s="53" t="s">
        <v>310</v>
      </c>
      <c r="D167" s="46" t="s">
        <v>301</v>
      </c>
      <c r="E167" s="52" t="s">
        <v>311</v>
      </c>
      <c r="F167" s="46" t="s">
        <v>312</v>
      </c>
      <c r="G167" s="46" t="s">
        <v>42</v>
      </c>
      <c r="H167" s="46">
        <v>27</v>
      </c>
      <c r="I167" s="46">
        <v>32</v>
      </c>
      <c r="J167" s="49">
        <f t="shared" si="18"/>
        <v>2.25</v>
      </c>
      <c r="K167" s="49">
        <f t="shared" si="18"/>
        <v>2.6666666666666665</v>
      </c>
      <c r="L167" s="49">
        <v>1</v>
      </c>
      <c r="M167" s="50">
        <f t="shared" si="14"/>
        <v>6</v>
      </c>
      <c r="N167" s="49">
        <v>0</v>
      </c>
      <c r="O167" s="45">
        <f t="shared" si="15"/>
        <v>0</v>
      </c>
      <c r="P167" s="45">
        <f t="shared" si="16"/>
        <v>0</v>
      </c>
      <c r="Q167" s="45">
        <f t="shared" si="17"/>
        <v>0</v>
      </c>
    </row>
    <row r="168" spans="1:17" x14ac:dyDescent="0.45">
      <c r="A168" s="51">
        <v>12</v>
      </c>
      <c r="B168" s="53" t="s">
        <v>309</v>
      </c>
      <c r="C168" s="53" t="s">
        <v>310</v>
      </c>
      <c r="D168" s="46" t="s">
        <v>301</v>
      </c>
      <c r="E168" s="52" t="s">
        <v>311</v>
      </c>
      <c r="F168" s="46" t="s">
        <v>312</v>
      </c>
      <c r="G168" s="46" t="s">
        <v>42</v>
      </c>
      <c r="H168" s="46">
        <v>43</v>
      </c>
      <c r="I168" s="46">
        <v>31</v>
      </c>
      <c r="J168" s="49">
        <f t="shared" si="18"/>
        <v>3.5833333333333335</v>
      </c>
      <c r="K168" s="49">
        <f t="shared" si="18"/>
        <v>2.5833333333333335</v>
      </c>
      <c r="L168" s="49">
        <v>1</v>
      </c>
      <c r="M168" s="50">
        <f t="shared" si="14"/>
        <v>9.2569444444444446</v>
      </c>
      <c r="N168" s="49">
        <v>0</v>
      </c>
      <c r="O168" s="45">
        <f t="shared" si="15"/>
        <v>0</v>
      </c>
      <c r="P168" s="45">
        <f t="shared" si="16"/>
        <v>0</v>
      </c>
      <c r="Q168" s="45">
        <f t="shared" si="17"/>
        <v>0</v>
      </c>
    </row>
    <row r="169" spans="1:17" x14ac:dyDescent="0.45">
      <c r="A169" s="47">
        <v>13</v>
      </c>
      <c r="B169" s="53" t="s">
        <v>309</v>
      </c>
      <c r="C169" s="53" t="s">
        <v>310</v>
      </c>
      <c r="D169" s="46" t="s">
        <v>301</v>
      </c>
      <c r="E169" s="52" t="s">
        <v>311</v>
      </c>
      <c r="F169" s="46" t="s">
        <v>312</v>
      </c>
      <c r="G169" s="46" t="s">
        <v>42</v>
      </c>
      <c r="H169" s="46">
        <v>48</v>
      </c>
      <c r="I169" s="46">
        <v>31</v>
      </c>
      <c r="J169" s="49">
        <f t="shared" si="18"/>
        <v>4</v>
      </c>
      <c r="K169" s="49">
        <f t="shared" si="18"/>
        <v>2.5833333333333335</v>
      </c>
      <c r="L169" s="49">
        <v>1</v>
      </c>
      <c r="M169" s="50">
        <f t="shared" si="14"/>
        <v>10.333333333333334</v>
      </c>
      <c r="N169" s="49">
        <v>0</v>
      </c>
      <c r="O169" s="45">
        <f t="shared" si="15"/>
        <v>0</v>
      </c>
      <c r="P169" s="45">
        <f t="shared" si="16"/>
        <v>0</v>
      </c>
      <c r="Q169" s="45">
        <f t="shared" si="17"/>
        <v>0</v>
      </c>
    </row>
    <row r="170" spans="1:17" x14ac:dyDescent="0.45">
      <c r="A170" s="51">
        <v>14</v>
      </c>
      <c r="B170" s="53" t="s">
        <v>309</v>
      </c>
      <c r="C170" s="53" t="s">
        <v>310</v>
      </c>
      <c r="D170" s="46" t="s">
        <v>301</v>
      </c>
      <c r="E170" s="52" t="s">
        <v>311</v>
      </c>
      <c r="F170" s="46" t="s">
        <v>312</v>
      </c>
      <c r="G170" s="46" t="s">
        <v>334</v>
      </c>
      <c r="H170" s="46">
        <v>48</v>
      </c>
      <c r="I170" s="46">
        <v>48</v>
      </c>
      <c r="J170" s="49">
        <f t="shared" si="18"/>
        <v>4</v>
      </c>
      <c r="K170" s="49">
        <f t="shared" si="18"/>
        <v>4</v>
      </c>
      <c r="L170" s="49">
        <v>1</v>
      </c>
      <c r="M170" s="50">
        <f t="shared" si="14"/>
        <v>16</v>
      </c>
      <c r="N170" s="49">
        <v>0</v>
      </c>
      <c r="O170" s="45">
        <f t="shared" si="15"/>
        <v>0</v>
      </c>
      <c r="P170" s="45">
        <f t="shared" si="16"/>
        <v>0</v>
      </c>
      <c r="Q170" s="45">
        <f t="shared" si="17"/>
        <v>0</v>
      </c>
    </row>
    <row r="171" spans="1:17" x14ac:dyDescent="0.45">
      <c r="A171" s="47">
        <v>15</v>
      </c>
      <c r="B171" s="53" t="s">
        <v>309</v>
      </c>
      <c r="C171" s="53" t="s">
        <v>310</v>
      </c>
      <c r="D171" s="46" t="s">
        <v>301</v>
      </c>
      <c r="E171" s="52" t="s">
        <v>311</v>
      </c>
      <c r="F171" s="46" t="s">
        <v>312</v>
      </c>
      <c r="G171" s="46" t="s">
        <v>42</v>
      </c>
      <c r="H171" s="46">
        <v>120</v>
      </c>
      <c r="I171" s="46">
        <v>24</v>
      </c>
      <c r="J171" s="49">
        <f t="shared" si="18"/>
        <v>10</v>
      </c>
      <c r="K171" s="49">
        <f t="shared" si="18"/>
        <v>2</v>
      </c>
      <c r="L171" s="49">
        <v>1</v>
      </c>
      <c r="M171" s="50">
        <f t="shared" si="14"/>
        <v>20</v>
      </c>
      <c r="N171" s="49">
        <v>0</v>
      </c>
      <c r="O171" s="45">
        <f t="shared" si="15"/>
        <v>0</v>
      </c>
      <c r="P171" s="45">
        <f t="shared" si="16"/>
        <v>0</v>
      </c>
      <c r="Q171" s="45">
        <f t="shared" si="17"/>
        <v>0</v>
      </c>
    </row>
    <row r="172" spans="1:17" x14ac:dyDescent="0.45">
      <c r="A172" s="51">
        <v>16</v>
      </c>
      <c r="B172" s="53" t="s">
        <v>309</v>
      </c>
      <c r="C172" s="53" t="s">
        <v>310</v>
      </c>
      <c r="D172" s="46" t="s">
        <v>301</v>
      </c>
      <c r="E172" s="52" t="s">
        <v>311</v>
      </c>
      <c r="F172" s="46" t="s">
        <v>312</v>
      </c>
      <c r="G172" s="46" t="s">
        <v>42</v>
      </c>
      <c r="H172" s="46">
        <v>120</v>
      </c>
      <c r="I172" s="46">
        <v>24</v>
      </c>
      <c r="J172" s="49">
        <f t="shared" si="18"/>
        <v>10</v>
      </c>
      <c r="K172" s="49">
        <f t="shared" si="18"/>
        <v>2</v>
      </c>
      <c r="L172" s="49">
        <v>1</v>
      </c>
      <c r="M172" s="50">
        <f t="shared" si="14"/>
        <v>20</v>
      </c>
      <c r="N172" s="49">
        <v>0</v>
      </c>
      <c r="O172" s="45">
        <f t="shared" si="15"/>
        <v>0</v>
      </c>
      <c r="P172" s="45">
        <f t="shared" si="16"/>
        <v>0</v>
      </c>
      <c r="Q172" s="45">
        <f t="shared" si="17"/>
        <v>0</v>
      </c>
    </row>
    <row r="173" spans="1:17" x14ac:dyDescent="0.45">
      <c r="A173" s="47">
        <v>17</v>
      </c>
      <c r="B173" s="53" t="s">
        <v>313</v>
      </c>
      <c r="C173" s="53" t="s">
        <v>314</v>
      </c>
      <c r="D173" s="46" t="s">
        <v>301</v>
      </c>
      <c r="E173" s="52" t="s">
        <v>315</v>
      </c>
      <c r="F173" s="46" t="s">
        <v>316</v>
      </c>
      <c r="G173" s="46" t="s">
        <v>42</v>
      </c>
      <c r="H173" s="46">
        <v>48</v>
      </c>
      <c r="I173" s="46">
        <v>84</v>
      </c>
      <c r="J173" s="49">
        <f t="shared" si="18"/>
        <v>4</v>
      </c>
      <c r="K173" s="49">
        <f t="shared" si="18"/>
        <v>7</v>
      </c>
      <c r="L173" s="49">
        <v>1</v>
      </c>
      <c r="M173" s="50">
        <f t="shared" si="14"/>
        <v>28</v>
      </c>
      <c r="N173" s="49">
        <v>0</v>
      </c>
      <c r="O173" s="45">
        <f t="shared" si="15"/>
        <v>0</v>
      </c>
      <c r="P173" s="45">
        <f t="shared" si="16"/>
        <v>0</v>
      </c>
      <c r="Q173" s="45">
        <f t="shared" si="17"/>
        <v>0</v>
      </c>
    </row>
    <row r="174" spans="1:17" x14ac:dyDescent="0.45">
      <c r="A174" s="51">
        <v>18</v>
      </c>
      <c r="B174" s="53" t="s">
        <v>313</v>
      </c>
      <c r="C174" s="53" t="s">
        <v>314</v>
      </c>
      <c r="D174" s="46" t="s">
        <v>301</v>
      </c>
      <c r="E174" s="52" t="s">
        <v>315</v>
      </c>
      <c r="F174" s="46" t="s">
        <v>316</v>
      </c>
      <c r="G174" s="46" t="s">
        <v>42</v>
      </c>
      <c r="H174" s="46">
        <v>84</v>
      </c>
      <c r="I174" s="46">
        <v>60</v>
      </c>
      <c r="J174" s="49">
        <f t="shared" si="18"/>
        <v>7</v>
      </c>
      <c r="K174" s="49">
        <f t="shared" si="18"/>
        <v>5</v>
      </c>
      <c r="L174" s="49">
        <v>1</v>
      </c>
      <c r="M174" s="50">
        <f t="shared" si="14"/>
        <v>35</v>
      </c>
      <c r="N174" s="49">
        <v>0</v>
      </c>
      <c r="O174" s="45">
        <f t="shared" si="15"/>
        <v>0</v>
      </c>
      <c r="P174" s="45">
        <f t="shared" si="16"/>
        <v>0</v>
      </c>
      <c r="Q174" s="45">
        <f t="shared" si="17"/>
        <v>0</v>
      </c>
    </row>
    <row r="175" spans="1:17" x14ac:dyDescent="0.45">
      <c r="A175" s="47">
        <v>19</v>
      </c>
      <c r="B175" s="53" t="s">
        <v>317</v>
      </c>
      <c r="C175" s="53" t="s">
        <v>318</v>
      </c>
      <c r="D175" s="46" t="s">
        <v>301</v>
      </c>
      <c r="E175" s="52" t="s">
        <v>319</v>
      </c>
      <c r="F175" s="46" t="s">
        <v>320</v>
      </c>
      <c r="G175" s="46" t="s">
        <v>334</v>
      </c>
      <c r="H175" s="46">
        <v>48</v>
      </c>
      <c r="I175" s="46">
        <v>40</v>
      </c>
      <c r="J175" s="49">
        <f t="shared" si="18"/>
        <v>4</v>
      </c>
      <c r="K175" s="49">
        <f t="shared" si="18"/>
        <v>3.3333333333333335</v>
      </c>
      <c r="L175" s="49">
        <v>1</v>
      </c>
      <c r="M175" s="50">
        <f t="shared" si="14"/>
        <v>13.333333333333334</v>
      </c>
      <c r="N175" s="49">
        <v>0</v>
      </c>
      <c r="O175" s="45">
        <f t="shared" si="15"/>
        <v>0</v>
      </c>
      <c r="P175" s="45">
        <f t="shared" si="16"/>
        <v>0</v>
      </c>
      <c r="Q175" s="45">
        <f t="shared" si="17"/>
        <v>0</v>
      </c>
    </row>
    <row r="176" spans="1:17" x14ac:dyDescent="0.45">
      <c r="A176" s="47">
        <v>21</v>
      </c>
      <c r="B176" s="53" t="s">
        <v>321</v>
      </c>
      <c r="C176" s="53" t="s">
        <v>322</v>
      </c>
      <c r="D176" s="46" t="s">
        <v>301</v>
      </c>
      <c r="E176" s="52" t="s">
        <v>323</v>
      </c>
      <c r="F176" s="46" t="s">
        <v>324</v>
      </c>
      <c r="G176" s="46" t="s">
        <v>336</v>
      </c>
      <c r="H176" s="46">
        <v>84</v>
      </c>
      <c r="I176" s="46">
        <v>36</v>
      </c>
      <c r="J176" s="49">
        <f t="shared" si="18"/>
        <v>7</v>
      </c>
      <c r="K176" s="50">
        <f t="shared" si="18"/>
        <v>3</v>
      </c>
      <c r="L176" s="49">
        <v>1</v>
      </c>
      <c r="M176" s="50">
        <f t="shared" si="14"/>
        <v>21</v>
      </c>
      <c r="N176" s="49">
        <v>0</v>
      </c>
      <c r="O176" s="45">
        <f t="shared" si="15"/>
        <v>0</v>
      </c>
      <c r="P176" s="45">
        <f t="shared" si="16"/>
        <v>0</v>
      </c>
      <c r="Q176" s="45">
        <f t="shared" si="17"/>
        <v>0</v>
      </c>
    </row>
    <row r="177" spans="1:17" x14ac:dyDescent="0.45">
      <c r="A177" s="47">
        <v>21</v>
      </c>
      <c r="B177" s="53" t="s">
        <v>321</v>
      </c>
      <c r="C177" s="53" t="s">
        <v>322</v>
      </c>
      <c r="D177" s="46" t="s">
        <v>301</v>
      </c>
      <c r="E177" s="52" t="s">
        <v>323</v>
      </c>
      <c r="F177" s="46" t="s">
        <v>324</v>
      </c>
      <c r="G177" s="46" t="s">
        <v>42</v>
      </c>
      <c r="H177" s="46">
        <v>95</v>
      </c>
      <c r="I177" s="46">
        <v>95</v>
      </c>
      <c r="J177" s="49">
        <f t="shared" si="18"/>
        <v>7.916666666666667</v>
      </c>
      <c r="K177" s="49">
        <f t="shared" si="18"/>
        <v>7.916666666666667</v>
      </c>
      <c r="L177" s="49">
        <v>1</v>
      </c>
      <c r="M177" s="50">
        <f t="shared" si="14"/>
        <v>62.673611111111114</v>
      </c>
      <c r="N177" s="49">
        <v>0</v>
      </c>
      <c r="O177" s="45">
        <f t="shared" si="15"/>
        <v>0</v>
      </c>
      <c r="P177" s="45">
        <f t="shared" si="16"/>
        <v>0</v>
      </c>
      <c r="Q177" s="45">
        <f t="shared" si="17"/>
        <v>0</v>
      </c>
    </row>
    <row r="178" spans="1:17" x14ac:dyDescent="0.45">
      <c r="A178" s="47">
        <v>23</v>
      </c>
      <c r="B178" s="48" t="s">
        <v>325</v>
      </c>
      <c r="C178" s="53" t="s">
        <v>326</v>
      </c>
      <c r="D178" s="46" t="s">
        <v>301</v>
      </c>
      <c r="E178" s="52" t="s">
        <v>327</v>
      </c>
      <c r="F178" s="46" t="s">
        <v>328</v>
      </c>
      <c r="G178" s="46" t="s">
        <v>42</v>
      </c>
      <c r="H178" s="46">
        <v>48</v>
      </c>
      <c r="I178" s="46">
        <v>125</v>
      </c>
      <c r="J178" s="49">
        <f t="shared" si="18"/>
        <v>4</v>
      </c>
      <c r="K178" s="49">
        <f t="shared" si="18"/>
        <v>10.416666666666666</v>
      </c>
      <c r="L178" s="49">
        <v>1</v>
      </c>
      <c r="M178" s="50">
        <f t="shared" si="14"/>
        <v>41.666666666666664</v>
      </c>
      <c r="N178" s="49">
        <v>0</v>
      </c>
      <c r="O178" s="45">
        <f t="shared" si="15"/>
        <v>0</v>
      </c>
      <c r="P178" s="45">
        <f t="shared" si="16"/>
        <v>0</v>
      </c>
      <c r="Q178" s="45">
        <f t="shared" si="17"/>
        <v>0</v>
      </c>
    </row>
    <row r="179" spans="1:17" x14ac:dyDescent="0.45">
      <c r="A179" s="51">
        <v>24</v>
      </c>
      <c r="B179" s="48" t="s">
        <v>325</v>
      </c>
      <c r="C179" s="53" t="s">
        <v>326</v>
      </c>
      <c r="D179" s="46" t="s">
        <v>301</v>
      </c>
      <c r="E179" s="52" t="s">
        <v>327</v>
      </c>
      <c r="F179" s="46" t="s">
        <v>328</v>
      </c>
      <c r="G179" s="46" t="s">
        <v>42</v>
      </c>
      <c r="H179" s="46">
        <v>111</v>
      </c>
      <c r="I179" s="46">
        <v>31</v>
      </c>
      <c r="J179" s="49">
        <f t="shared" si="18"/>
        <v>9.25</v>
      </c>
      <c r="K179" s="49">
        <f t="shared" si="18"/>
        <v>2.5833333333333335</v>
      </c>
      <c r="L179" s="49">
        <v>1</v>
      </c>
      <c r="M179" s="50">
        <f t="shared" si="14"/>
        <v>23.895833333333336</v>
      </c>
      <c r="N179" s="49">
        <v>0</v>
      </c>
      <c r="O179" s="45">
        <f t="shared" si="15"/>
        <v>0</v>
      </c>
      <c r="P179" s="45">
        <f t="shared" si="16"/>
        <v>0</v>
      </c>
      <c r="Q179" s="45">
        <f t="shared" si="17"/>
        <v>0</v>
      </c>
    </row>
    <row r="180" spans="1:17" x14ac:dyDescent="0.45">
      <c r="A180" s="47">
        <v>25</v>
      </c>
      <c r="B180" s="48" t="s">
        <v>325</v>
      </c>
      <c r="C180" s="53" t="s">
        <v>326</v>
      </c>
      <c r="D180" s="46" t="s">
        <v>301</v>
      </c>
      <c r="E180" s="52" t="s">
        <v>327</v>
      </c>
      <c r="F180" s="46" t="s">
        <v>328</v>
      </c>
      <c r="G180" s="46" t="s">
        <v>42</v>
      </c>
      <c r="H180" s="46">
        <v>149</v>
      </c>
      <c r="I180" s="46">
        <v>35</v>
      </c>
      <c r="J180" s="49">
        <f t="shared" si="18"/>
        <v>12.416666666666666</v>
      </c>
      <c r="K180" s="49">
        <f t="shared" si="18"/>
        <v>2.9166666666666665</v>
      </c>
      <c r="L180" s="49">
        <v>1</v>
      </c>
      <c r="M180" s="50">
        <f t="shared" si="14"/>
        <v>36.215277777777771</v>
      </c>
      <c r="N180" s="49">
        <v>0</v>
      </c>
      <c r="O180" s="45">
        <f t="shared" si="15"/>
        <v>0</v>
      </c>
      <c r="P180" s="45">
        <f t="shared" si="16"/>
        <v>0</v>
      </c>
      <c r="Q180" s="45">
        <f t="shared" si="17"/>
        <v>0</v>
      </c>
    </row>
    <row r="181" spans="1:17" x14ac:dyDescent="0.45">
      <c r="A181" s="51">
        <v>26</v>
      </c>
      <c r="B181" s="53" t="s">
        <v>329</v>
      </c>
      <c r="C181" s="53" t="s">
        <v>330</v>
      </c>
      <c r="D181" s="46" t="s">
        <v>301</v>
      </c>
      <c r="E181" s="52" t="s">
        <v>331</v>
      </c>
      <c r="F181" s="46" t="s">
        <v>332</v>
      </c>
      <c r="G181" s="46" t="s">
        <v>42</v>
      </c>
      <c r="H181" s="46">
        <v>12</v>
      </c>
      <c r="I181" s="46">
        <v>90</v>
      </c>
      <c r="J181" s="49">
        <f t="shared" si="18"/>
        <v>1</v>
      </c>
      <c r="K181" s="49">
        <f t="shared" si="18"/>
        <v>7.5</v>
      </c>
      <c r="L181" s="49">
        <v>1</v>
      </c>
      <c r="M181" s="50">
        <f t="shared" si="14"/>
        <v>7.5</v>
      </c>
      <c r="N181" s="49">
        <v>0</v>
      </c>
      <c r="O181" s="45">
        <f t="shared" si="15"/>
        <v>0</v>
      </c>
      <c r="P181" s="45">
        <f t="shared" si="16"/>
        <v>0</v>
      </c>
      <c r="Q181" s="45">
        <f t="shared" si="17"/>
        <v>0</v>
      </c>
    </row>
    <row r="182" spans="1:17" x14ac:dyDescent="0.45">
      <c r="A182" s="47">
        <v>27</v>
      </c>
      <c r="B182" s="53" t="s">
        <v>329</v>
      </c>
      <c r="C182" s="53" t="s">
        <v>330</v>
      </c>
      <c r="D182" s="46" t="s">
        <v>301</v>
      </c>
      <c r="E182" s="52" t="s">
        <v>331</v>
      </c>
      <c r="F182" s="46" t="s">
        <v>332</v>
      </c>
      <c r="G182" s="46" t="s">
        <v>42</v>
      </c>
      <c r="H182" s="46">
        <v>22</v>
      </c>
      <c r="I182" s="46">
        <v>90</v>
      </c>
      <c r="J182" s="49">
        <f t="shared" si="18"/>
        <v>1.8333333333333333</v>
      </c>
      <c r="K182" s="49">
        <f t="shared" si="18"/>
        <v>7.5</v>
      </c>
      <c r="L182" s="49">
        <v>1</v>
      </c>
      <c r="M182" s="50">
        <f t="shared" si="14"/>
        <v>13.75</v>
      </c>
      <c r="N182" s="49">
        <v>0</v>
      </c>
      <c r="O182" s="45">
        <f t="shared" si="15"/>
        <v>0</v>
      </c>
      <c r="P182" s="45">
        <f t="shared" si="16"/>
        <v>0</v>
      </c>
      <c r="Q182" s="45">
        <f t="shared" si="17"/>
        <v>0</v>
      </c>
    </row>
    <row r="183" spans="1:17" x14ac:dyDescent="0.45">
      <c r="A183" s="46"/>
      <c r="B183" s="46"/>
      <c r="C183" s="46"/>
      <c r="D183" s="46"/>
      <c r="E183" s="55" t="s">
        <v>337</v>
      </c>
      <c r="F183" s="46"/>
      <c r="G183" s="46"/>
      <c r="H183" s="46"/>
      <c r="I183" s="46"/>
      <c r="J183" s="46"/>
      <c r="K183" s="46"/>
      <c r="L183" s="46"/>
      <c r="M183" s="44">
        <v>1544</v>
      </c>
      <c r="N183" s="49">
        <v>0</v>
      </c>
      <c r="O183" s="45">
        <f t="shared" si="15"/>
        <v>0</v>
      </c>
      <c r="P183" s="45">
        <f t="shared" si="16"/>
        <v>0</v>
      </c>
      <c r="Q183" s="45">
        <f t="shared" si="17"/>
        <v>0</v>
      </c>
    </row>
    <row r="184" spans="1:17" x14ac:dyDescent="0.45">
      <c r="A184" s="51"/>
      <c r="B184" s="48"/>
      <c r="C184" s="54"/>
      <c r="D184" s="46"/>
      <c r="E184" s="55" t="s">
        <v>338</v>
      </c>
      <c r="F184" s="55"/>
      <c r="G184" s="55"/>
      <c r="H184" s="55"/>
      <c r="I184" s="55"/>
      <c r="J184" s="55"/>
      <c r="K184" s="55"/>
      <c r="L184" s="55"/>
      <c r="M184" s="44">
        <v>349</v>
      </c>
      <c r="N184" s="49">
        <v>0</v>
      </c>
      <c r="O184" s="45">
        <f t="shared" si="15"/>
        <v>0</v>
      </c>
      <c r="P184" s="45">
        <f t="shared" si="16"/>
        <v>0</v>
      </c>
      <c r="Q184" s="45">
        <f t="shared" si="17"/>
        <v>0</v>
      </c>
    </row>
    <row r="185" spans="1:17" x14ac:dyDescent="0.45">
      <c r="A185" s="38"/>
      <c r="B185" s="38"/>
      <c r="C185" s="38"/>
      <c r="D185" s="38"/>
      <c r="E185" s="38"/>
      <c r="F185" s="38"/>
      <c r="G185" s="38"/>
      <c r="H185" s="46"/>
      <c r="I185" s="46"/>
      <c r="J185" s="46"/>
      <c r="K185" s="46"/>
      <c r="L185" s="46"/>
      <c r="M185" s="46"/>
      <c r="N185" s="46"/>
      <c r="O185" s="46"/>
      <c r="P185" s="46"/>
      <c r="Q185" s="46"/>
    </row>
    <row r="186" spans="1:17" x14ac:dyDescent="0.45">
      <c r="H186" s="110" t="s">
        <v>333</v>
      </c>
      <c r="I186" s="110"/>
      <c r="J186" s="110"/>
      <c r="K186" s="110"/>
      <c r="L186" s="110"/>
      <c r="M186" s="110"/>
      <c r="N186" s="110"/>
      <c r="O186" s="56">
        <f>SUM(O2:O185)</f>
        <v>0</v>
      </c>
      <c r="P186" s="56">
        <f>SUM(P2:P185)</f>
        <v>0</v>
      </c>
      <c r="Q186" s="56">
        <f>SUM(O186:P186)</f>
        <v>0</v>
      </c>
    </row>
  </sheetData>
  <mergeCells count="1">
    <mergeCell ref="H186:N186"/>
  </mergeCells>
  <conditionalFormatting sqref="B37:B39">
    <cfRule type="duplicateValues" dxfId="105" priority="100"/>
    <cfRule type="duplicateValues" dxfId="104" priority="101"/>
    <cfRule type="duplicateValues" dxfId="103" priority="102"/>
  </conditionalFormatting>
  <conditionalFormatting sqref="B40">
    <cfRule type="duplicateValues" dxfId="102" priority="48"/>
    <cfRule type="duplicateValues" dxfId="101" priority="45"/>
    <cfRule type="duplicateValues" dxfId="100" priority="46"/>
    <cfRule type="duplicateValues" dxfId="99" priority="47"/>
  </conditionalFormatting>
  <conditionalFormatting sqref="B41">
    <cfRule type="duplicateValues" dxfId="98" priority="28"/>
    <cfRule type="duplicateValues" dxfId="97" priority="27"/>
    <cfRule type="duplicateValues" dxfId="96" priority="26"/>
    <cfRule type="duplicateValues" dxfId="95" priority="25"/>
  </conditionalFormatting>
  <conditionalFormatting sqref="B47:B48">
    <cfRule type="duplicateValues" dxfId="94" priority="36"/>
    <cfRule type="duplicateValues" dxfId="93" priority="35"/>
    <cfRule type="duplicateValues" dxfId="92" priority="34"/>
    <cfRule type="duplicateValues" dxfId="91" priority="33"/>
  </conditionalFormatting>
  <conditionalFormatting sqref="B49:B50">
    <cfRule type="duplicateValues" dxfId="90" priority="39"/>
    <cfRule type="duplicateValues" dxfId="89" priority="40"/>
    <cfRule type="duplicateValues" dxfId="88" priority="38"/>
    <cfRule type="duplicateValues" dxfId="87" priority="37"/>
  </conditionalFormatting>
  <conditionalFormatting sqref="B51:B53">
    <cfRule type="duplicateValues" dxfId="86" priority="99"/>
    <cfRule type="duplicateValues" dxfId="85" priority="98"/>
    <cfRule type="duplicateValues" dxfId="84" priority="97"/>
  </conditionalFormatting>
  <conditionalFormatting sqref="B54:B55">
    <cfRule type="duplicateValues" dxfId="83" priority="104"/>
    <cfRule type="duplicateValues" dxfId="82" priority="103"/>
    <cfRule type="duplicateValues" dxfId="81" priority="105"/>
    <cfRule type="duplicateValues" dxfId="80" priority="106"/>
  </conditionalFormatting>
  <conditionalFormatting sqref="B56:B58">
    <cfRule type="duplicateValues" dxfId="79" priority="29"/>
    <cfRule type="duplicateValues" dxfId="78" priority="30"/>
    <cfRule type="duplicateValues" dxfId="77" priority="31"/>
    <cfRule type="duplicateValues" dxfId="76" priority="32"/>
  </conditionalFormatting>
  <conditionalFormatting sqref="B59">
    <cfRule type="duplicateValues" dxfId="75" priority="44"/>
    <cfRule type="duplicateValues" dxfId="74" priority="41"/>
    <cfRule type="duplicateValues" dxfId="73" priority="42"/>
    <cfRule type="duplicateValues" dxfId="72" priority="43"/>
  </conditionalFormatting>
  <conditionalFormatting sqref="B108:B112">
    <cfRule type="duplicateValues" dxfId="71" priority="110"/>
    <cfRule type="duplicateValues" dxfId="70" priority="111"/>
    <cfRule type="duplicateValues" dxfId="69" priority="112"/>
  </conditionalFormatting>
  <conditionalFormatting sqref="B117:B120">
    <cfRule type="duplicateValues" dxfId="68" priority="78"/>
    <cfRule type="duplicateValues" dxfId="67" priority="77"/>
    <cfRule type="duplicateValues" dxfId="66" priority="76"/>
  </conditionalFormatting>
  <conditionalFormatting sqref="B121:B122">
    <cfRule type="duplicateValues" dxfId="65" priority="113"/>
    <cfRule type="duplicateValues" dxfId="64" priority="114"/>
    <cfRule type="duplicateValues" dxfId="63" priority="115"/>
  </conditionalFormatting>
  <conditionalFormatting sqref="B123:B124">
    <cfRule type="duplicateValues" dxfId="62" priority="118"/>
    <cfRule type="duplicateValues" dxfId="61" priority="117"/>
    <cfRule type="duplicateValues" dxfId="60" priority="116"/>
  </conditionalFormatting>
  <conditionalFormatting sqref="B125:B129">
    <cfRule type="duplicateValues" dxfId="59" priority="70"/>
    <cfRule type="duplicateValues" dxfId="58" priority="71"/>
    <cfRule type="duplicateValues" dxfId="57" priority="72"/>
  </conditionalFormatting>
  <conditionalFormatting sqref="B130:B131">
    <cfRule type="duplicateValues" dxfId="56" priority="61"/>
    <cfRule type="duplicateValues" dxfId="55" priority="62"/>
    <cfRule type="duplicateValues" dxfId="54" priority="63"/>
  </conditionalFormatting>
  <conditionalFormatting sqref="B132">
    <cfRule type="duplicateValues" dxfId="53" priority="64"/>
    <cfRule type="duplicateValues" dxfId="52" priority="65"/>
    <cfRule type="duplicateValues" dxfId="51" priority="66"/>
  </conditionalFormatting>
  <conditionalFormatting sqref="B133:B135">
    <cfRule type="duplicateValues" dxfId="50" priority="59"/>
    <cfRule type="duplicateValues" dxfId="49" priority="58"/>
    <cfRule type="duplicateValues" dxfId="48" priority="60"/>
  </conditionalFormatting>
  <conditionalFormatting sqref="B136:B138">
    <cfRule type="duplicateValues" dxfId="47" priority="54"/>
    <cfRule type="duplicateValues" dxfId="46" priority="53"/>
    <cfRule type="duplicateValues" dxfId="45" priority="52"/>
  </conditionalFormatting>
  <conditionalFormatting sqref="B139:B141">
    <cfRule type="duplicateValues" dxfId="44" priority="82"/>
    <cfRule type="duplicateValues" dxfId="43" priority="83"/>
    <cfRule type="duplicateValues" dxfId="42" priority="84"/>
  </conditionalFormatting>
  <conditionalFormatting sqref="B142:B145">
    <cfRule type="duplicateValues" dxfId="41" priority="51"/>
    <cfRule type="duplicateValues" dxfId="40" priority="50"/>
    <cfRule type="duplicateValues" dxfId="39" priority="49"/>
  </conditionalFormatting>
  <conditionalFormatting sqref="B146">
    <cfRule type="duplicateValues" dxfId="38" priority="121"/>
    <cfRule type="duplicateValues" dxfId="37" priority="120"/>
    <cfRule type="duplicateValues" dxfId="36" priority="119"/>
  </conditionalFormatting>
  <conditionalFormatting sqref="B147:B150">
    <cfRule type="duplicateValues" dxfId="35" priority="92"/>
    <cfRule type="duplicateValues" dxfId="34" priority="93"/>
    <cfRule type="duplicateValues" dxfId="33" priority="91"/>
  </conditionalFormatting>
  <conditionalFormatting sqref="B151:B152">
    <cfRule type="duplicateValues" dxfId="32" priority="123"/>
    <cfRule type="duplicateValues" dxfId="31" priority="122"/>
    <cfRule type="duplicateValues" dxfId="30" priority="124"/>
  </conditionalFormatting>
  <conditionalFormatting sqref="B153:B154">
    <cfRule type="duplicateValues" dxfId="29" priority="125"/>
    <cfRule type="duplicateValues" dxfId="28" priority="126"/>
    <cfRule type="duplicateValues" dxfId="27" priority="127"/>
  </conditionalFormatting>
  <conditionalFormatting sqref="B155:B156">
    <cfRule type="duplicateValues" dxfId="26" priority="128"/>
    <cfRule type="duplicateValues" dxfId="25" priority="129"/>
    <cfRule type="duplicateValues" dxfId="24" priority="130"/>
  </conditionalFormatting>
  <conditionalFormatting sqref="B157:B159">
    <cfRule type="duplicateValues" dxfId="23" priority="8"/>
    <cfRule type="duplicateValues" dxfId="22" priority="7"/>
    <cfRule type="duplicateValues" dxfId="21" priority="9"/>
  </conditionalFormatting>
  <conditionalFormatting sqref="B160:B163">
    <cfRule type="duplicateValues" dxfId="20" priority="12"/>
    <cfRule type="duplicateValues" dxfId="19" priority="11"/>
    <cfRule type="duplicateValues" dxfId="18" priority="10"/>
  </conditionalFormatting>
  <conditionalFormatting sqref="B164:B166">
    <cfRule type="duplicateValues" dxfId="17" priority="4"/>
    <cfRule type="duplicateValues" dxfId="16" priority="5"/>
    <cfRule type="duplicateValues" dxfId="15" priority="6"/>
  </conditionalFormatting>
  <conditionalFormatting sqref="B167:B172">
    <cfRule type="duplicateValues" dxfId="14" priority="15"/>
    <cfRule type="duplicateValues" dxfId="13" priority="13"/>
    <cfRule type="duplicateValues" dxfId="12" priority="14"/>
  </conditionalFormatting>
  <conditionalFormatting sqref="B173:B174">
    <cfRule type="duplicateValues" dxfId="11" priority="3"/>
    <cfRule type="duplicateValues" dxfId="10" priority="2"/>
    <cfRule type="duplicateValues" dxfId="9" priority="1"/>
  </conditionalFormatting>
  <conditionalFormatting sqref="B175">
    <cfRule type="duplicateValues" dxfId="8" priority="24"/>
    <cfRule type="duplicateValues" dxfId="7" priority="23"/>
    <cfRule type="duplicateValues" dxfId="6" priority="22"/>
  </conditionalFormatting>
  <conditionalFormatting sqref="B176:B177">
    <cfRule type="duplicateValues" dxfId="5" priority="21"/>
    <cfRule type="duplicateValues" dxfId="4" priority="20"/>
    <cfRule type="duplicateValues" dxfId="3" priority="19"/>
  </conditionalFormatting>
  <conditionalFormatting sqref="B181:B182">
    <cfRule type="duplicateValues" dxfId="2" priority="18"/>
    <cfRule type="duplicateValues" dxfId="1" priority="17"/>
    <cfRule type="duplicateValues" dxfId="0" priority="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RFQ format</vt:lpstr>
      <vt:lpstr>Master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shadab khan</dc:creator>
  <cp:lastModifiedBy>shadab khan</cp:lastModifiedBy>
  <cp:lastPrinted>2025-03-20T11:04:01Z</cp:lastPrinted>
  <dcterms:created xsi:type="dcterms:W3CDTF">2025-03-20T10:21:08Z</dcterms:created>
  <dcterms:modified xsi:type="dcterms:W3CDTF">2026-02-04T07:48:15Z</dcterms:modified>
</cp:coreProperties>
</file>